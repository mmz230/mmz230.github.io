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y Drive\KFUPM\OM 430\Excel\"/>
    </mc:Choice>
  </mc:AlternateContent>
  <xr:revisionPtr revIDLastSave="0" documentId="13_ncr:1_{9CE3E171-1319-40F8-8724-ABE8B4CCBB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rial Aggregate Plan" sheetId="1" r:id="rId1"/>
    <sheet name="Optimal Aggregate Plan " sheetId="3" r:id="rId2"/>
  </sheets>
  <definedNames>
    <definedName name="solver_eng" localSheetId="1" hidden="1">1</definedName>
    <definedName name="solver_eng" localSheetId="0" hidden="1">1</definedName>
    <definedName name="solver_neg" localSheetId="1" hidden="1">1</definedName>
    <definedName name="solver_neg" localSheetId="0" hidden="1">1</definedName>
    <definedName name="solver_num" localSheetId="1" hidden="1">0</definedName>
    <definedName name="solver_num" localSheetId="0" hidden="1">0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5" i="1"/>
</calcChain>
</file>

<file path=xl/sharedStrings.xml><?xml version="1.0" encoding="utf-8"?>
<sst xmlns="http://schemas.openxmlformats.org/spreadsheetml/2006/main" count="114" uniqueCount="46">
  <si>
    <t>Demand Forecast</t>
  </si>
  <si>
    <t>Month</t>
  </si>
  <si>
    <t>January</t>
  </si>
  <si>
    <t>February</t>
  </si>
  <si>
    <t>March</t>
  </si>
  <si>
    <t>April</t>
  </si>
  <si>
    <t>May</t>
  </si>
  <si>
    <t>June</t>
  </si>
  <si>
    <t>Costs</t>
  </si>
  <si>
    <t>Item</t>
  </si>
  <si>
    <t>Cost</t>
  </si>
  <si>
    <t>Materials cost/unit</t>
  </si>
  <si>
    <t>Inventory holding cost/unit/month</t>
  </si>
  <si>
    <t>Marginal cost of stockout/unit/month</t>
  </si>
  <si>
    <t>Hiring and training cost/worker</t>
  </si>
  <si>
    <t>Layoff cost/worker</t>
  </si>
  <si>
    <t>Labor hours required/unit</t>
  </si>
  <si>
    <t>Regular time cost/hour</t>
  </si>
  <si>
    <t>Over time cost/hour</t>
  </si>
  <si>
    <t>Marginal subcontracting cost/unit</t>
  </si>
  <si>
    <t>Aggregate Plan Decision Variables</t>
  </si>
  <si>
    <t>Period</t>
  </si>
  <si>
    <t># Hired</t>
  </si>
  <si>
    <t># Laid off</t>
  </si>
  <si>
    <t># Workforce</t>
  </si>
  <si>
    <t>Overtime</t>
  </si>
  <si>
    <t>Inventory</t>
  </si>
  <si>
    <t>Stockout</t>
  </si>
  <si>
    <t>Subcontract</t>
  </si>
  <si>
    <t>Production</t>
  </si>
  <si>
    <t>Demand</t>
  </si>
  <si>
    <t>Price</t>
  </si>
  <si>
    <r>
      <t>H</t>
    </r>
    <r>
      <rPr>
        <sz val="10"/>
        <rFont val="Arial"/>
        <family val="2"/>
      </rPr>
      <t>t</t>
    </r>
  </si>
  <si>
    <r>
      <t>L</t>
    </r>
    <r>
      <rPr>
        <sz val="10"/>
        <rFont val="Arial"/>
        <family val="2"/>
      </rPr>
      <t>t</t>
    </r>
  </si>
  <si>
    <r>
      <t>W</t>
    </r>
    <r>
      <rPr>
        <sz val="10"/>
        <rFont val="Arial"/>
        <family val="2"/>
      </rPr>
      <t>t</t>
    </r>
  </si>
  <si>
    <r>
      <t>O</t>
    </r>
    <r>
      <rPr>
        <sz val="10"/>
        <rFont val="Arial"/>
        <family val="2"/>
      </rPr>
      <t>t</t>
    </r>
  </si>
  <si>
    <r>
      <t>I</t>
    </r>
    <r>
      <rPr>
        <sz val="10"/>
        <rFont val="Arial"/>
        <family val="2"/>
      </rPr>
      <t>t</t>
    </r>
  </si>
  <si>
    <r>
      <t>S</t>
    </r>
    <r>
      <rPr>
        <sz val="10"/>
        <rFont val="Arial"/>
        <family val="2"/>
      </rPr>
      <t>t</t>
    </r>
  </si>
  <si>
    <r>
      <t>C</t>
    </r>
    <r>
      <rPr>
        <sz val="10"/>
        <rFont val="Arial"/>
        <family val="2"/>
      </rPr>
      <t>t</t>
    </r>
  </si>
  <si>
    <r>
      <t>P</t>
    </r>
    <r>
      <rPr>
        <sz val="10"/>
        <rFont val="Arial"/>
        <family val="2"/>
      </rPr>
      <t>t</t>
    </r>
  </si>
  <si>
    <t>Total cost</t>
  </si>
  <si>
    <t>Constraints</t>
  </si>
  <si>
    <t>Workforce</t>
  </si>
  <si>
    <t>Capacity</t>
  </si>
  <si>
    <t>Aggregate Plan Costs</t>
  </si>
  <si>
    <t>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</si>
</sst>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164" fontId="4" fillId="2" borderId="4" xfId="1" applyNumberFormat="1" applyFont="1" applyFill="1" applyBorder="1"/>
    <xf numFmtId="0" fontId="4" fillId="0" borderId="5" xfId="0" applyFont="1" applyBorder="1"/>
    <xf numFmtId="164" fontId="4" fillId="2" borderId="6" xfId="1" applyNumberFormat="1" applyFont="1" applyFill="1" applyBorder="1"/>
    <xf numFmtId="0" fontId="4" fillId="0" borderId="0" xfId="0" applyFont="1"/>
    <xf numFmtId="0" fontId="4" fillId="0" borderId="7" xfId="0" applyFont="1" applyBorder="1"/>
    <xf numFmtId="165" fontId="4" fillId="3" borderId="8" xfId="2" applyNumberFormat="1" applyFont="1" applyFill="1" applyBorder="1" applyAlignment="1"/>
    <xf numFmtId="165" fontId="4" fillId="2" borderId="4" xfId="2" applyNumberFormat="1" applyFont="1" applyFill="1" applyBorder="1" applyAlignment="1"/>
    <xf numFmtId="165" fontId="4" fillId="3" borderId="4" xfId="2" applyNumberFormat="1" applyFont="1" applyFill="1" applyBorder="1" applyAlignment="1"/>
    <xf numFmtId="37" fontId="4" fillId="3" borderId="4" xfId="2" applyNumberFormat="1" applyFont="1" applyFill="1" applyBorder="1" applyAlignment="1"/>
    <xf numFmtId="165" fontId="4" fillId="3" borderId="6" xfId="2" applyNumberFormat="1" applyFont="1" applyFill="1" applyBorder="1" applyAlignment="1"/>
    <xf numFmtId="0" fontId="0" fillId="0" borderId="9" xfId="0" applyBorder="1"/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4" fillId="0" borderId="17" xfId="0" applyFont="1" applyBorder="1"/>
    <xf numFmtId="0" fontId="4" fillId="0" borderId="20" xfId="0" applyFont="1" applyBorder="1"/>
    <xf numFmtId="164" fontId="4" fillId="0" borderId="21" xfId="1" applyNumberFormat="1" applyFont="1" applyFill="1" applyBorder="1"/>
    <xf numFmtId="0" fontId="4" fillId="0" borderId="12" xfId="0" applyFont="1" applyBorder="1"/>
    <xf numFmtId="164" fontId="4" fillId="0" borderId="22" xfId="1" applyNumberFormat="1" applyFont="1" applyFill="1" applyBorder="1"/>
    <xf numFmtId="3" fontId="4" fillId="3" borderId="18" xfId="0" applyNumberFormat="1" applyFont="1" applyFill="1" applyBorder="1" applyAlignment="1">
      <alignment horizontal="center"/>
    </xf>
    <xf numFmtId="3" fontId="4" fillId="3" borderId="19" xfId="0" applyNumberFormat="1" applyFont="1" applyFill="1" applyBorder="1" applyAlignment="1">
      <alignment horizontal="center"/>
    </xf>
    <xf numFmtId="3" fontId="4" fillId="4" borderId="18" xfId="0" applyNumberFormat="1" applyFont="1" applyFill="1" applyBorder="1" applyAlignment="1">
      <alignment horizontal="center"/>
    </xf>
    <xf numFmtId="3" fontId="4" fillId="5" borderId="18" xfId="0" applyNumberFormat="1" applyFont="1" applyFill="1" applyBorder="1" applyAlignment="1">
      <alignment horizontal="center"/>
    </xf>
    <xf numFmtId="3" fontId="4" fillId="5" borderId="19" xfId="0" applyNumberFormat="1" applyFont="1" applyFill="1" applyBorder="1" applyAlignment="1">
      <alignment horizontal="center"/>
    </xf>
    <xf numFmtId="0" fontId="0" fillId="7" borderId="0" xfId="0" applyFill="1"/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3" fontId="4" fillId="7" borderId="18" xfId="0" applyNumberFormat="1" applyFont="1" applyFill="1" applyBorder="1" applyAlignment="1">
      <alignment horizontal="center"/>
    </xf>
    <xf numFmtId="3" fontId="4" fillId="7" borderId="19" xfId="0" applyNumberFormat="1" applyFont="1" applyFill="1" applyBorder="1" applyAlignment="1">
      <alignment horizontal="center"/>
    </xf>
    <xf numFmtId="0" fontId="3" fillId="0" borderId="23" xfId="0" applyFont="1" applyBorder="1"/>
    <xf numFmtId="3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1" fontId="0" fillId="7" borderId="23" xfId="0" applyNumberFormat="1" applyFill="1" applyBorder="1" applyAlignment="1">
      <alignment horizontal="center"/>
    </xf>
    <xf numFmtId="3" fontId="4" fillId="8" borderId="18" xfId="0" applyNumberFormat="1" applyFont="1" applyFill="1" applyBorder="1" applyAlignment="1">
      <alignment horizontal="center"/>
    </xf>
    <xf numFmtId="3" fontId="4" fillId="8" borderId="19" xfId="0" applyNumberFormat="1" applyFont="1" applyFill="1" applyBorder="1" applyAlignment="1">
      <alignment horizontal="center"/>
    </xf>
    <xf numFmtId="1" fontId="0" fillId="7" borderId="26" xfId="0" applyNumberForma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topLeftCell="A3" workbookViewId="0">
      <selection activeCell="A12" sqref="A12"/>
    </sheetView>
  </sheetViews>
  <sheetFormatPr defaultRowHeight="14.5" x14ac:dyDescent="0.35"/>
  <cols>
    <col min="1" max="1" width="33.08984375" bestFit="1" customWidth="1"/>
    <col min="2" max="2" width="16" bestFit="1" customWidth="1"/>
    <col min="4" max="4" width="20.08984375" customWidth="1"/>
    <col min="5" max="5" width="9.6328125" bestFit="1" customWidth="1"/>
    <col min="6" max="6" width="9.54296875" bestFit="1" customWidth="1"/>
    <col min="7" max="7" width="11.81640625" bestFit="1" customWidth="1"/>
    <col min="8" max="8" width="9.1796875" bestFit="1" customWidth="1"/>
    <col min="9" max="9" width="9.453125" bestFit="1" customWidth="1"/>
    <col min="10" max="10" width="9" bestFit="1" customWidth="1"/>
    <col min="11" max="11" width="11.7265625" bestFit="1" customWidth="1"/>
    <col min="12" max="12" width="13.26953125" bestFit="1" customWidth="1"/>
  </cols>
  <sheetData>
    <row r="1" spans="1:14" ht="15" thickBot="1" x14ac:dyDescent="0.4">
      <c r="A1" s="1" t="s">
        <v>0</v>
      </c>
      <c r="D1" s="1" t="s">
        <v>20</v>
      </c>
    </row>
    <row r="2" spans="1:14" ht="18" thickBot="1" x14ac:dyDescent="0.4">
      <c r="D2" s="15"/>
      <c r="E2" s="16" t="s">
        <v>32</v>
      </c>
      <c r="F2" s="16" t="s">
        <v>33</v>
      </c>
      <c r="G2" s="16" t="s">
        <v>34</v>
      </c>
      <c r="H2" s="16" t="s">
        <v>35</v>
      </c>
      <c r="I2" s="16" t="s">
        <v>36</v>
      </c>
      <c r="J2" s="16" t="s">
        <v>37</v>
      </c>
      <c r="K2" s="16" t="s">
        <v>38</v>
      </c>
      <c r="L2" s="17" t="s">
        <v>39</v>
      </c>
    </row>
    <row r="3" spans="1:14" ht="15" thickBot="1" x14ac:dyDescent="0.4">
      <c r="A3" s="2" t="s">
        <v>1</v>
      </c>
      <c r="B3" s="3" t="s">
        <v>0</v>
      </c>
      <c r="D3" s="18" t="s">
        <v>21</v>
      </c>
      <c r="E3" s="19" t="s">
        <v>22</v>
      </c>
      <c r="F3" s="19" t="s">
        <v>23</v>
      </c>
      <c r="G3" s="19" t="s">
        <v>24</v>
      </c>
      <c r="H3" s="19" t="s">
        <v>25</v>
      </c>
      <c r="I3" s="19" t="s">
        <v>26</v>
      </c>
      <c r="J3" s="19" t="s">
        <v>27</v>
      </c>
      <c r="K3" s="19" t="s">
        <v>28</v>
      </c>
      <c r="L3" s="20" t="s">
        <v>29</v>
      </c>
      <c r="M3" s="21" t="s">
        <v>30</v>
      </c>
      <c r="N3" s="22" t="s">
        <v>31</v>
      </c>
    </row>
    <row r="4" spans="1:14" x14ac:dyDescent="0.35">
      <c r="A4" s="4" t="s">
        <v>2</v>
      </c>
      <c r="B4" s="5">
        <v>1600</v>
      </c>
      <c r="D4" s="23">
        <v>0</v>
      </c>
      <c r="E4" s="28">
        <v>0</v>
      </c>
      <c r="F4" s="28">
        <v>0</v>
      </c>
      <c r="G4" s="28">
        <v>80</v>
      </c>
      <c r="H4" s="28">
        <v>0</v>
      </c>
      <c r="I4" s="28">
        <v>1000</v>
      </c>
      <c r="J4" s="28">
        <v>0</v>
      </c>
      <c r="K4" s="28">
        <v>0</v>
      </c>
      <c r="L4" s="29"/>
      <c r="M4" s="24"/>
      <c r="N4" s="24"/>
    </row>
    <row r="5" spans="1:14" x14ac:dyDescent="0.35">
      <c r="A5" s="4" t="s">
        <v>3</v>
      </c>
      <c r="B5" s="5">
        <v>3000</v>
      </c>
      <c r="D5" s="23">
        <v>1</v>
      </c>
      <c r="E5" s="30"/>
      <c r="F5" s="30"/>
      <c r="G5" s="31"/>
      <c r="H5" s="30"/>
      <c r="I5" s="31"/>
      <c r="J5" s="31"/>
      <c r="K5" s="30"/>
      <c r="L5" s="32"/>
      <c r="M5" s="25">
        <f>B4</f>
        <v>1600</v>
      </c>
      <c r="N5" s="25"/>
    </row>
    <row r="6" spans="1:14" x14ac:dyDescent="0.35">
      <c r="A6" s="4" t="s">
        <v>4</v>
      </c>
      <c r="B6" s="5">
        <v>3200</v>
      </c>
      <c r="D6" s="23">
        <v>2</v>
      </c>
      <c r="E6" s="30"/>
      <c r="F6" s="30"/>
      <c r="G6" s="31"/>
      <c r="H6" s="30"/>
      <c r="I6" s="31"/>
      <c r="J6" s="31"/>
      <c r="K6" s="30"/>
      <c r="L6" s="32"/>
      <c r="M6" s="25">
        <f t="shared" ref="M6:M10" si="0">B5</f>
        <v>3000</v>
      </c>
      <c r="N6" s="25"/>
    </row>
    <row r="7" spans="1:14" x14ac:dyDescent="0.35">
      <c r="A7" s="4" t="s">
        <v>5</v>
      </c>
      <c r="B7" s="5">
        <v>3800</v>
      </c>
      <c r="D7" s="23">
        <v>3</v>
      </c>
      <c r="E7" s="30"/>
      <c r="F7" s="30"/>
      <c r="G7" s="31"/>
      <c r="H7" s="30"/>
      <c r="I7" s="31"/>
      <c r="J7" s="31"/>
      <c r="K7" s="30"/>
      <c r="L7" s="32"/>
      <c r="M7" s="25">
        <f t="shared" si="0"/>
        <v>3200</v>
      </c>
      <c r="N7" s="25"/>
    </row>
    <row r="8" spans="1:14" x14ac:dyDescent="0.35">
      <c r="A8" s="4" t="s">
        <v>6</v>
      </c>
      <c r="B8" s="5">
        <v>2200</v>
      </c>
      <c r="D8" s="23">
        <v>4</v>
      </c>
      <c r="E8" s="30"/>
      <c r="F8" s="30"/>
      <c r="G8" s="31"/>
      <c r="H8" s="30"/>
      <c r="I8" s="31"/>
      <c r="J8" s="31"/>
      <c r="K8" s="30"/>
      <c r="L8" s="32"/>
      <c r="M8" s="25">
        <f t="shared" si="0"/>
        <v>3800</v>
      </c>
      <c r="N8" s="25"/>
    </row>
    <row r="9" spans="1:14" ht="15" thickBot="1" x14ac:dyDescent="0.4">
      <c r="A9" s="6" t="s">
        <v>7</v>
      </c>
      <c r="B9" s="7">
        <v>2200</v>
      </c>
      <c r="D9" s="23">
        <v>5</v>
      </c>
      <c r="E9" s="30"/>
      <c r="F9" s="30"/>
      <c r="G9" s="31"/>
      <c r="H9" s="30"/>
      <c r="I9" s="31"/>
      <c r="J9" s="31"/>
      <c r="K9" s="30"/>
      <c r="L9" s="32"/>
      <c r="M9" s="25">
        <f t="shared" si="0"/>
        <v>2200</v>
      </c>
      <c r="N9" s="25"/>
    </row>
    <row r="10" spans="1:14" ht="15" thickBot="1" x14ac:dyDescent="0.4">
      <c r="A10" s="8"/>
      <c r="B10" s="8"/>
      <c r="D10" s="26">
        <v>6</v>
      </c>
      <c r="E10" s="30"/>
      <c r="F10" s="30"/>
      <c r="G10" s="31"/>
      <c r="H10" s="30"/>
      <c r="I10" s="31"/>
      <c r="J10" s="31"/>
      <c r="K10" s="30"/>
      <c r="L10" s="32"/>
      <c r="M10" s="25">
        <f t="shared" si="0"/>
        <v>2200</v>
      </c>
      <c r="N10" s="27"/>
    </row>
    <row r="11" spans="1:14" x14ac:dyDescent="0.35">
      <c r="A11" s="1" t="s">
        <v>8</v>
      </c>
      <c r="B11" s="8"/>
    </row>
    <row r="12" spans="1:14" ht="15" thickBot="1" x14ac:dyDescent="0.4">
      <c r="A12" s="8"/>
      <c r="B12" s="8"/>
      <c r="D12" s="1" t="s">
        <v>44</v>
      </c>
    </row>
    <row r="13" spans="1:14" ht="15" thickBot="1" x14ac:dyDescent="0.4">
      <c r="A13" s="2" t="s">
        <v>9</v>
      </c>
      <c r="B13" s="3" t="s">
        <v>10</v>
      </c>
      <c r="D13" s="18" t="s">
        <v>21</v>
      </c>
      <c r="E13" s="38" t="s">
        <v>22</v>
      </c>
      <c r="F13" s="38" t="s">
        <v>23</v>
      </c>
      <c r="G13" s="38" t="s">
        <v>24</v>
      </c>
      <c r="H13" s="38" t="s">
        <v>25</v>
      </c>
      <c r="I13" s="38" t="s">
        <v>26</v>
      </c>
      <c r="J13" s="38" t="s">
        <v>27</v>
      </c>
      <c r="K13" s="38" t="s">
        <v>28</v>
      </c>
      <c r="L13" s="38" t="s">
        <v>29</v>
      </c>
      <c r="M13" s="21" t="s">
        <v>30</v>
      </c>
      <c r="N13" s="22" t="s">
        <v>31</v>
      </c>
    </row>
    <row r="14" spans="1:14" x14ac:dyDescent="0.35">
      <c r="A14" s="9" t="s">
        <v>11</v>
      </c>
      <c r="B14" s="10">
        <v>10</v>
      </c>
      <c r="D14" s="23">
        <v>0</v>
      </c>
      <c r="E14" s="28">
        <v>0</v>
      </c>
      <c r="F14" s="28">
        <v>0</v>
      </c>
      <c r="G14" s="28">
        <v>80</v>
      </c>
      <c r="H14" s="28">
        <v>0</v>
      </c>
      <c r="I14" s="28">
        <v>1000</v>
      </c>
      <c r="J14" s="28">
        <v>0</v>
      </c>
      <c r="K14" s="28">
        <v>0</v>
      </c>
      <c r="L14" s="29"/>
      <c r="M14" s="24"/>
      <c r="N14" s="24"/>
    </row>
    <row r="15" spans="1:14" x14ac:dyDescent="0.35">
      <c r="A15" s="4" t="s">
        <v>12</v>
      </c>
      <c r="B15" s="11">
        <v>2</v>
      </c>
      <c r="D15" s="23">
        <v>1</v>
      </c>
      <c r="E15" s="36"/>
      <c r="F15" s="36"/>
      <c r="G15" s="36"/>
      <c r="H15" s="36"/>
      <c r="I15" s="36"/>
      <c r="J15" s="36"/>
      <c r="K15" s="36"/>
      <c r="L15" s="37"/>
      <c r="M15" s="25"/>
      <c r="N15" s="25"/>
    </row>
    <row r="16" spans="1:14" x14ac:dyDescent="0.35">
      <c r="A16" s="4" t="s">
        <v>13</v>
      </c>
      <c r="B16" s="12">
        <v>5</v>
      </c>
      <c r="D16" s="23">
        <v>2</v>
      </c>
      <c r="E16" s="36"/>
      <c r="F16" s="36"/>
      <c r="G16" s="36"/>
      <c r="H16" s="36"/>
      <c r="I16" s="36"/>
      <c r="J16" s="36"/>
      <c r="K16" s="36"/>
      <c r="L16" s="37"/>
      <c r="M16" s="25"/>
      <c r="N16" s="25"/>
    </row>
    <row r="17" spans="1:14" x14ac:dyDescent="0.35">
      <c r="A17" s="4" t="s">
        <v>14</v>
      </c>
      <c r="B17" s="12">
        <v>300</v>
      </c>
      <c r="D17" s="23">
        <v>3</v>
      </c>
      <c r="E17" s="36"/>
      <c r="F17" s="36"/>
      <c r="G17" s="36"/>
      <c r="H17" s="36"/>
      <c r="I17" s="36"/>
      <c r="J17" s="36"/>
      <c r="K17" s="36"/>
      <c r="L17" s="37"/>
      <c r="M17" s="25"/>
      <c r="N17" s="25"/>
    </row>
    <row r="18" spans="1:14" x14ac:dyDescent="0.35">
      <c r="A18" s="4" t="s">
        <v>15</v>
      </c>
      <c r="B18" s="12">
        <v>500</v>
      </c>
      <c r="D18" s="23">
        <v>4</v>
      </c>
      <c r="E18" s="36"/>
      <c r="F18" s="36"/>
      <c r="G18" s="36"/>
      <c r="H18" s="36"/>
      <c r="I18" s="36"/>
      <c r="J18" s="36"/>
      <c r="K18" s="36"/>
      <c r="L18" s="37"/>
      <c r="M18" s="25"/>
      <c r="N18" s="25"/>
    </row>
    <row r="19" spans="1:14" x14ac:dyDescent="0.35">
      <c r="A19" s="4" t="s">
        <v>16</v>
      </c>
      <c r="B19" s="13">
        <v>4</v>
      </c>
      <c r="D19" s="23">
        <v>5</v>
      </c>
      <c r="E19" s="36"/>
      <c r="F19" s="36"/>
      <c r="G19" s="36"/>
      <c r="H19" s="36"/>
      <c r="I19" s="36"/>
      <c r="J19" s="36"/>
      <c r="K19" s="36"/>
      <c r="L19" s="37"/>
      <c r="M19" s="25"/>
      <c r="N19" s="25"/>
    </row>
    <row r="20" spans="1:14" ht="15" thickBot="1" x14ac:dyDescent="0.4">
      <c r="A20" s="4" t="s">
        <v>17</v>
      </c>
      <c r="B20" s="12">
        <v>4</v>
      </c>
      <c r="D20" s="26">
        <v>6</v>
      </c>
      <c r="E20" s="36"/>
      <c r="F20" s="36"/>
      <c r="G20" s="36"/>
      <c r="H20" s="36"/>
      <c r="I20" s="36"/>
      <c r="J20" s="36"/>
      <c r="K20" s="36"/>
      <c r="L20" s="37"/>
      <c r="M20" s="25"/>
      <c r="N20" s="27"/>
    </row>
    <row r="21" spans="1:14" x14ac:dyDescent="0.35">
      <c r="A21" s="4" t="s">
        <v>18</v>
      </c>
      <c r="B21" s="11">
        <v>6</v>
      </c>
      <c r="D21" s="34"/>
      <c r="E21" s="34"/>
      <c r="F21" s="34"/>
      <c r="G21" s="34"/>
      <c r="H21" s="33"/>
      <c r="I21" s="33"/>
      <c r="J21" s="33"/>
      <c r="K21" s="33"/>
      <c r="L21" s="33"/>
    </row>
    <row r="22" spans="1:14" ht="15" thickBot="1" x14ac:dyDescent="0.4">
      <c r="A22" s="6" t="s">
        <v>19</v>
      </c>
      <c r="B22" s="14">
        <v>30</v>
      </c>
      <c r="D22" s="39" t="s">
        <v>40</v>
      </c>
      <c r="E22" s="40"/>
      <c r="F22" s="35"/>
      <c r="G22" s="35"/>
      <c r="H22" s="33"/>
      <c r="I22" s="33"/>
      <c r="J22" s="33"/>
      <c r="K22" s="33"/>
      <c r="L22" s="33"/>
    </row>
    <row r="23" spans="1:14" x14ac:dyDescent="0.35">
      <c r="D23" s="35"/>
      <c r="E23" s="35"/>
      <c r="F23" s="35"/>
      <c r="G23" s="35"/>
      <c r="H23" s="33"/>
      <c r="I23" s="33"/>
      <c r="J23" s="33"/>
      <c r="K23" s="33"/>
      <c r="L23" s="33"/>
    </row>
    <row r="24" spans="1:14" x14ac:dyDescent="0.35">
      <c r="D24" s="35"/>
      <c r="E24" s="35"/>
      <c r="F24" s="35"/>
      <c r="G24" s="35"/>
      <c r="H24" s="33"/>
      <c r="I24" s="33"/>
      <c r="J24" s="33"/>
      <c r="K24" s="33"/>
      <c r="L24" s="33"/>
    </row>
    <row r="25" spans="1:14" x14ac:dyDescent="0.35">
      <c r="D25" s="35"/>
      <c r="E25" s="35"/>
      <c r="F25" s="35"/>
      <c r="G25" s="35"/>
      <c r="H25" s="33"/>
      <c r="I25" s="33"/>
      <c r="J25" s="33"/>
      <c r="K25" s="33"/>
      <c r="L25" s="33"/>
    </row>
    <row r="26" spans="1:14" x14ac:dyDescent="0.35">
      <c r="D26" s="35"/>
      <c r="E26" s="35"/>
      <c r="F26" s="35"/>
      <c r="G26" s="35"/>
      <c r="H26" s="33"/>
      <c r="I26" s="33"/>
      <c r="J26" s="33"/>
      <c r="K26" s="33"/>
      <c r="L26" s="33"/>
    </row>
    <row r="27" spans="1:14" x14ac:dyDescent="0.35">
      <c r="D27" s="35"/>
      <c r="E27" s="35"/>
      <c r="F27" s="35"/>
      <c r="G27" s="35"/>
      <c r="H27" s="33"/>
      <c r="I27" s="33"/>
      <c r="J27" s="33"/>
      <c r="K27" s="33"/>
      <c r="L27" s="3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workbookViewId="0">
      <selection activeCell="C1" sqref="C1"/>
    </sheetView>
  </sheetViews>
  <sheetFormatPr defaultRowHeight="14.5" x14ac:dyDescent="0.35"/>
  <cols>
    <col min="1" max="1" width="33.08984375" bestFit="1" customWidth="1"/>
    <col min="2" max="2" width="16" bestFit="1" customWidth="1"/>
    <col min="4" max="4" width="20.08984375" customWidth="1"/>
    <col min="5" max="5" width="9.6328125" bestFit="1" customWidth="1"/>
    <col min="6" max="6" width="9.54296875" bestFit="1" customWidth="1"/>
    <col min="7" max="7" width="11.81640625" bestFit="1" customWidth="1"/>
    <col min="8" max="8" width="9.1796875" bestFit="1" customWidth="1"/>
    <col min="9" max="9" width="9.453125" bestFit="1" customWidth="1"/>
    <col min="10" max="10" width="9" bestFit="1" customWidth="1"/>
    <col min="11" max="11" width="11.7265625" bestFit="1" customWidth="1"/>
    <col min="12" max="12" width="13.26953125" bestFit="1" customWidth="1"/>
  </cols>
  <sheetData>
    <row r="1" spans="1:14" ht="15" thickBot="1" x14ac:dyDescent="0.4">
      <c r="A1" s="1" t="s">
        <v>0</v>
      </c>
      <c r="D1" s="1" t="s">
        <v>20</v>
      </c>
    </row>
    <row r="2" spans="1:14" ht="18" thickBot="1" x14ac:dyDescent="0.4">
      <c r="D2" s="15"/>
      <c r="E2" s="16" t="s">
        <v>32</v>
      </c>
      <c r="F2" s="16" t="s">
        <v>33</v>
      </c>
      <c r="G2" s="16" t="s">
        <v>34</v>
      </c>
      <c r="H2" s="16" t="s">
        <v>35</v>
      </c>
      <c r="I2" s="16" t="s">
        <v>36</v>
      </c>
      <c r="J2" s="16" t="s">
        <v>37</v>
      </c>
      <c r="K2" s="16" t="s">
        <v>38</v>
      </c>
      <c r="L2" s="17" t="s">
        <v>39</v>
      </c>
    </row>
    <row r="3" spans="1:14" ht="15" thickBot="1" x14ac:dyDescent="0.4">
      <c r="A3" s="2" t="s">
        <v>1</v>
      </c>
      <c r="B3" s="3" t="s">
        <v>0</v>
      </c>
      <c r="D3" s="18" t="s">
        <v>21</v>
      </c>
      <c r="E3" s="19" t="s">
        <v>22</v>
      </c>
      <c r="F3" s="19" t="s">
        <v>23</v>
      </c>
      <c r="G3" s="19" t="s">
        <v>24</v>
      </c>
      <c r="H3" s="19" t="s">
        <v>25</v>
      </c>
      <c r="I3" s="19" t="s">
        <v>26</v>
      </c>
      <c r="J3" s="19" t="s">
        <v>27</v>
      </c>
      <c r="K3" s="19" t="s">
        <v>28</v>
      </c>
      <c r="L3" s="20" t="s">
        <v>29</v>
      </c>
      <c r="M3" s="21" t="s">
        <v>30</v>
      </c>
      <c r="N3" s="22" t="s">
        <v>31</v>
      </c>
    </row>
    <row r="4" spans="1:14" x14ac:dyDescent="0.35">
      <c r="A4" s="4" t="s">
        <v>2</v>
      </c>
      <c r="B4" s="5">
        <v>1600</v>
      </c>
      <c r="D4" s="23">
        <v>0</v>
      </c>
      <c r="E4" s="28">
        <v>0</v>
      </c>
      <c r="F4" s="28">
        <v>0</v>
      </c>
      <c r="G4" s="28">
        <v>80</v>
      </c>
      <c r="H4" s="28">
        <v>0</v>
      </c>
      <c r="I4" s="28">
        <v>1000</v>
      </c>
      <c r="J4" s="28">
        <v>0</v>
      </c>
      <c r="K4" s="28">
        <v>0</v>
      </c>
      <c r="L4" s="29"/>
      <c r="M4" s="24"/>
      <c r="N4" s="24"/>
    </row>
    <row r="5" spans="1:14" x14ac:dyDescent="0.35">
      <c r="A5" s="4" t="s">
        <v>3</v>
      </c>
      <c r="B5" s="5">
        <v>3000</v>
      </c>
      <c r="D5" s="23">
        <v>1</v>
      </c>
      <c r="E5" s="42"/>
      <c r="F5" s="42"/>
      <c r="G5" s="42"/>
      <c r="H5" s="42"/>
      <c r="I5" s="42"/>
      <c r="J5" s="42"/>
      <c r="K5" s="42"/>
      <c r="L5" s="43"/>
      <c r="M5" s="25">
        <v>1600</v>
      </c>
      <c r="N5" s="25"/>
    </row>
    <row r="6" spans="1:14" x14ac:dyDescent="0.35">
      <c r="A6" s="4" t="s">
        <v>4</v>
      </c>
      <c r="B6" s="5">
        <v>3200</v>
      </c>
      <c r="D6" s="23">
        <v>2</v>
      </c>
      <c r="E6" s="42"/>
      <c r="F6" s="42"/>
      <c r="G6" s="42"/>
      <c r="H6" s="42"/>
      <c r="I6" s="42"/>
      <c r="J6" s="42"/>
      <c r="K6" s="42"/>
      <c r="L6" s="43"/>
      <c r="M6" s="25">
        <v>3000</v>
      </c>
      <c r="N6" s="25"/>
    </row>
    <row r="7" spans="1:14" x14ac:dyDescent="0.35">
      <c r="A7" s="4" t="s">
        <v>5</v>
      </c>
      <c r="B7" s="5">
        <v>3800</v>
      </c>
      <c r="D7" s="23">
        <v>3</v>
      </c>
      <c r="E7" s="42"/>
      <c r="F7" s="42"/>
      <c r="G7" s="42"/>
      <c r="H7" s="42"/>
      <c r="I7" s="42"/>
      <c r="J7" s="42"/>
      <c r="K7" s="42"/>
      <c r="L7" s="43"/>
      <c r="M7" s="25">
        <v>3200</v>
      </c>
      <c r="N7" s="25"/>
    </row>
    <row r="8" spans="1:14" x14ac:dyDescent="0.35">
      <c r="A8" s="4" t="s">
        <v>6</v>
      </c>
      <c r="B8" s="5">
        <v>2200</v>
      </c>
      <c r="D8" s="23">
        <v>4</v>
      </c>
      <c r="E8" s="42"/>
      <c r="F8" s="42"/>
      <c r="G8" s="42"/>
      <c r="H8" s="42"/>
      <c r="I8" s="42"/>
      <c r="J8" s="42"/>
      <c r="K8" s="42"/>
      <c r="L8" s="43"/>
      <c r="M8" s="25">
        <v>3800</v>
      </c>
      <c r="N8" s="25"/>
    </row>
    <row r="9" spans="1:14" ht="15" thickBot="1" x14ac:dyDescent="0.4">
      <c r="A9" s="6" t="s">
        <v>7</v>
      </c>
      <c r="B9" s="7">
        <v>2200</v>
      </c>
      <c r="D9" s="23">
        <v>5</v>
      </c>
      <c r="E9" s="42"/>
      <c r="F9" s="42"/>
      <c r="G9" s="42"/>
      <c r="H9" s="42"/>
      <c r="I9" s="42"/>
      <c r="J9" s="42"/>
      <c r="K9" s="42"/>
      <c r="L9" s="43"/>
      <c r="M9" s="25">
        <v>2200</v>
      </c>
      <c r="N9" s="25"/>
    </row>
    <row r="10" spans="1:14" ht="15" thickBot="1" x14ac:dyDescent="0.4">
      <c r="A10" s="8"/>
      <c r="B10" s="8"/>
      <c r="D10" s="26">
        <v>6</v>
      </c>
      <c r="E10" s="42"/>
      <c r="F10" s="42"/>
      <c r="G10" s="42"/>
      <c r="H10" s="42"/>
      <c r="I10" s="42"/>
      <c r="J10" s="42"/>
      <c r="K10" s="42"/>
      <c r="L10" s="43"/>
      <c r="M10" s="25">
        <v>2200</v>
      </c>
      <c r="N10" s="27"/>
    </row>
    <row r="11" spans="1:14" x14ac:dyDescent="0.35">
      <c r="A11" s="1" t="s">
        <v>8</v>
      </c>
      <c r="B11" s="8"/>
    </row>
    <row r="12" spans="1:14" ht="15" thickBot="1" x14ac:dyDescent="0.4">
      <c r="A12" s="8"/>
      <c r="B12" s="8"/>
      <c r="D12" s="1" t="s">
        <v>44</v>
      </c>
    </row>
    <row r="13" spans="1:14" ht="15" thickBot="1" x14ac:dyDescent="0.4">
      <c r="A13" s="2" t="s">
        <v>9</v>
      </c>
      <c r="B13" s="3" t="s">
        <v>10</v>
      </c>
      <c r="D13" s="18" t="s">
        <v>21</v>
      </c>
      <c r="E13" s="38" t="s">
        <v>22</v>
      </c>
      <c r="F13" s="38" t="s">
        <v>23</v>
      </c>
      <c r="G13" s="38" t="s">
        <v>24</v>
      </c>
      <c r="H13" s="38" t="s">
        <v>25</v>
      </c>
      <c r="I13" s="38" t="s">
        <v>26</v>
      </c>
      <c r="J13" s="38" t="s">
        <v>27</v>
      </c>
      <c r="K13" s="38" t="s">
        <v>28</v>
      </c>
      <c r="L13" s="38" t="s">
        <v>29</v>
      </c>
      <c r="M13" s="21" t="s">
        <v>30</v>
      </c>
      <c r="N13" s="22" t="s">
        <v>31</v>
      </c>
    </row>
    <row r="14" spans="1:14" x14ac:dyDescent="0.35">
      <c r="A14" s="9" t="s">
        <v>11</v>
      </c>
      <c r="B14" s="10">
        <v>10</v>
      </c>
      <c r="D14" s="23">
        <v>0</v>
      </c>
      <c r="E14" s="28">
        <v>0</v>
      </c>
      <c r="F14" s="28">
        <v>0</v>
      </c>
      <c r="G14" s="28">
        <v>80</v>
      </c>
      <c r="H14" s="28">
        <v>0</v>
      </c>
      <c r="I14" s="28">
        <v>1000</v>
      </c>
      <c r="J14" s="28">
        <v>0</v>
      </c>
      <c r="K14" s="28">
        <v>0</v>
      </c>
      <c r="L14" s="29"/>
      <c r="M14" s="24"/>
      <c r="N14" s="24"/>
    </row>
    <row r="15" spans="1:14" x14ac:dyDescent="0.35">
      <c r="A15" s="4" t="s">
        <v>12</v>
      </c>
      <c r="B15" s="11">
        <v>2</v>
      </c>
      <c r="D15" s="23">
        <v>1</v>
      </c>
      <c r="E15" s="36"/>
      <c r="F15" s="36"/>
      <c r="G15" s="36"/>
      <c r="H15" s="36"/>
      <c r="I15" s="36"/>
      <c r="J15" s="36"/>
      <c r="K15" s="36"/>
      <c r="L15" s="37"/>
      <c r="M15" s="25">
        <v>1600</v>
      </c>
      <c r="N15" s="25"/>
    </row>
    <row r="16" spans="1:14" x14ac:dyDescent="0.35">
      <c r="A16" s="4" t="s">
        <v>13</v>
      </c>
      <c r="B16" s="12">
        <v>5</v>
      </c>
      <c r="D16" s="23">
        <v>2</v>
      </c>
      <c r="E16" s="36"/>
      <c r="F16" s="36"/>
      <c r="G16" s="36"/>
      <c r="H16" s="36"/>
      <c r="I16" s="36"/>
      <c r="J16" s="36"/>
      <c r="K16" s="36"/>
      <c r="L16" s="37"/>
      <c r="M16" s="25">
        <v>3000</v>
      </c>
      <c r="N16" s="25"/>
    </row>
    <row r="17" spans="1:14" x14ac:dyDescent="0.35">
      <c r="A17" s="4" t="s">
        <v>14</v>
      </c>
      <c r="B17" s="12">
        <v>300</v>
      </c>
      <c r="D17" s="23">
        <v>3</v>
      </c>
      <c r="E17" s="36"/>
      <c r="F17" s="36"/>
      <c r="G17" s="36"/>
      <c r="H17" s="36"/>
      <c r="I17" s="36"/>
      <c r="J17" s="36"/>
      <c r="K17" s="36"/>
      <c r="L17" s="37"/>
      <c r="M17" s="25">
        <v>3200</v>
      </c>
      <c r="N17" s="25"/>
    </row>
    <row r="18" spans="1:14" x14ac:dyDescent="0.35">
      <c r="A18" s="4" t="s">
        <v>15</v>
      </c>
      <c r="B18" s="12">
        <v>500</v>
      </c>
      <c r="D18" s="23">
        <v>4</v>
      </c>
      <c r="E18" s="36"/>
      <c r="F18" s="36"/>
      <c r="G18" s="36"/>
      <c r="H18" s="36"/>
      <c r="I18" s="36"/>
      <c r="J18" s="36"/>
      <c r="K18" s="36"/>
      <c r="L18" s="37"/>
      <c r="M18" s="25">
        <v>3800</v>
      </c>
      <c r="N18" s="25"/>
    </row>
    <row r="19" spans="1:14" x14ac:dyDescent="0.35">
      <c r="A19" s="4" t="s">
        <v>16</v>
      </c>
      <c r="B19" s="13">
        <v>4</v>
      </c>
      <c r="D19" s="23">
        <v>5</v>
      </c>
      <c r="E19" s="36"/>
      <c r="F19" s="36"/>
      <c r="G19" s="36"/>
      <c r="H19" s="36"/>
      <c r="I19" s="36"/>
      <c r="J19" s="36"/>
      <c r="K19" s="36"/>
      <c r="L19" s="37"/>
      <c r="M19" s="25">
        <v>2200</v>
      </c>
      <c r="N19" s="25"/>
    </row>
    <row r="20" spans="1:14" ht="15" thickBot="1" x14ac:dyDescent="0.4">
      <c r="A20" s="4" t="s">
        <v>17</v>
      </c>
      <c r="B20" s="12">
        <v>4</v>
      </c>
      <c r="D20" s="26">
        <v>6</v>
      </c>
      <c r="E20" s="36"/>
      <c r="F20" s="36"/>
      <c r="G20" s="36"/>
      <c r="H20" s="36"/>
      <c r="I20" s="36"/>
      <c r="J20" s="36"/>
      <c r="K20" s="36"/>
      <c r="L20" s="37"/>
      <c r="M20" s="25">
        <v>2200</v>
      </c>
      <c r="N20" s="27"/>
    </row>
    <row r="21" spans="1:14" x14ac:dyDescent="0.35">
      <c r="A21" s="4" t="s">
        <v>18</v>
      </c>
      <c r="B21" s="11">
        <v>6</v>
      </c>
      <c r="D21" s="34"/>
      <c r="E21" s="34"/>
      <c r="F21" s="34"/>
      <c r="G21" s="34"/>
      <c r="H21" s="33"/>
      <c r="I21" s="33"/>
      <c r="J21" s="33"/>
      <c r="K21" s="33"/>
      <c r="L21" s="33"/>
    </row>
    <row r="22" spans="1:14" ht="15" thickBot="1" x14ac:dyDescent="0.4">
      <c r="A22" s="6" t="s">
        <v>19</v>
      </c>
      <c r="B22" s="14">
        <v>30</v>
      </c>
      <c r="D22" s="39" t="s">
        <v>40</v>
      </c>
      <c r="E22" s="40"/>
      <c r="F22" s="35"/>
      <c r="G22" s="35"/>
      <c r="H22" s="33"/>
      <c r="I22" s="33"/>
      <c r="J22" s="33"/>
      <c r="K22" s="33"/>
      <c r="L22" s="33"/>
    </row>
    <row r="23" spans="1:14" x14ac:dyDescent="0.35">
      <c r="D23" s="35"/>
      <c r="E23" s="35"/>
      <c r="F23" s="35"/>
      <c r="G23" s="35"/>
      <c r="H23" s="33"/>
      <c r="I23" s="33"/>
      <c r="J23" s="33"/>
      <c r="K23" s="33"/>
      <c r="L23" s="33"/>
    </row>
    <row r="24" spans="1:14" x14ac:dyDescent="0.35">
      <c r="D24" s="1" t="s">
        <v>41</v>
      </c>
      <c r="H24" s="33"/>
      <c r="I24" s="33"/>
      <c r="J24" s="33"/>
      <c r="K24" s="33"/>
      <c r="L24" s="33"/>
    </row>
    <row r="25" spans="1:14" ht="15" thickBot="1" x14ac:dyDescent="0.4">
      <c r="H25" s="33"/>
      <c r="I25" s="33"/>
      <c r="J25" s="33"/>
      <c r="K25" s="33"/>
      <c r="L25" s="33"/>
    </row>
    <row r="26" spans="1:14" x14ac:dyDescent="0.35">
      <c r="C26" s="45" t="s">
        <v>1</v>
      </c>
      <c r="D26" s="46" t="s">
        <v>42</v>
      </c>
      <c r="E26" s="47" t="s">
        <v>43</v>
      </c>
      <c r="F26" s="47" t="s">
        <v>26</v>
      </c>
      <c r="G26" s="48" t="s">
        <v>45</v>
      </c>
      <c r="H26" s="33"/>
      <c r="I26" s="33"/>
      <c r="J26" s="33"/>
      <c r="K26" s="33"/>
      <c r="L26" s="33"/>
    </row>
    <row r="27" spans="1:14" x14ac:dyDescent="0.35">
      <c r="C27" s="45">
        <v>1</v>
      </c>
      <c r="D27" s="44"/>
      <c r="E27" s="41"/>
      <c r="F27" s="41"/>
      <c r="G27" s="41"/>
    </row>
    <row r="28" spans="1:14" x14ac:dyDescent="0.35">
      <c r="C28" s="45">
        <v>2</v>
      </c>
      <c r="D28" s="44"/>
      <c r="E28" s="41"/>
      <c r="F28" s="41"/>
      <c r="G28" s="41"/>
    </row>
    <row r="29" spans="1:14" x14ac:dyDescent="0.35">
      <c r="C29" s="45">
        <v>3</v>
      </c>
      <c r="D29" s="44"/>
      <c r="E29" s="41"/>
      <c r="F29" s="41"/>
      <c r="G29" s="41"/>
    </row>
    <row r="30" spans="1:14" x14ac:dyDescent="0.35">
      <c r="C30" s="45">
        <v>4</v>
      </c>
      <c r="D30" s="44"/>
      <c r="E30" s="41"/>
      <c r="F30" s="41"/>
      <c r="G30" s="41"/>
    </row>
    <row r="31" spans="1:14" x14ac:dyDescent="0.35">
      <c r="C31" s="45">
        <v>5</v>
      </c>
      <c r="D31" s="44"/>
      <c r="E31" s="41"/>
      <c r="F31" s="41"/>
      <c r="G31" s="41"/>
    </row>
    <row r="32" spans="1:14" x14ac:dyDescent="0.35">
      <c r="C32" s="45">
        <v>6</v>
      </c>
      <c r="D32" s="44"/>
      <c r="E32" s="41"/>
      <c r="F32" s="41"/>
      <c r="G32" s="4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Aggregate Plan</vt:lpstr>
      <vt:lpstr>Optimal Aggregate Plan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Ahmad Hussain AlNasser</cp:lastModifiedBy>
  <dcterms:created xsi:type="dcterms:W3CDTF">2022-11-02T17:45:05Z</dcterms:created>
  <dcterms:modified xsi:type="dcterms:W3CDTF">2025-11-16T06:59:06Z</dcterms:modified>
</cp:coreProperties>
</file>