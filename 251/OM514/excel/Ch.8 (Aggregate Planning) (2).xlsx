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alnasser\Downloads\"/>
    </mc:Choice>
  </mc:AlternateContent>
  <xr:revisionPtr revIDLastSave="0" documentId="13_ncr:1_{49269F98-2E09-4D4D-AC9B-B7BB65C9618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How to Aggregate" sheetId="9" r:id="rId1"/>
    <sheet name="Aggregate Plan (trial)" sheetId="10" r:id="rId2"/>
    <sheet name="Sheet1 (2)" sheetId="2" r:id="rId3"/>
    <sheet name="Sheet1 (3)" sheetId="8" r:id="rId4"/>
  </sheets>
  <definedNames>
    <definedName name="solver_adj" localSheetId="2" hidden="1">'Sheet1 (2)'!$E$5:$L$10</definedName>
    <definedName name="solver_adj" localSheetId="3" hidden="1">'Sheet1 (3)'!$E$5:$L$10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2</definedName>
    <definedName name="solver_drv" localSheetId="2" hidden="1">2</definedName>
    <definedName name="solver_drv" localSheetId="3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1" hidden="1">'Aggregate Plan (trial)'!$D$31:$D$36</definedName>
    <definedName name="solver_lhs1" localSheetId="2" hidden="1">'Sheet1 (2)'!$D$31:$D$36</definedName>
    <definedName name="solver_lhs1" localSheetId="3" hidden="1">'Sheet1 (3)'!$D$31:$D$36</definedName>
    <definedName name="solver_lhs2" localSheetId="1" hidden="1">'Aggregate Plan (trial)'!$E$31:$E$36</definedName>
    <definedName name="solver_lhs2" localSheetId="2" hidden="1">'Sheet1 (2)'!$E$31:$E$36</definedName>
    <definedName name="solver_lhs2" localSheetId="3" hidden="1">'Sheet1 (3)'!$E$31:$E$36</definedName>
    <definedName name="solver_lhs3" localSheetId="1" hidden="1">'Aggregate Plan (trial)'!$E$5:$L$10</definedName>
    <definedName name="solver_lhs3" localSheetId="2" hidden="1">'Sheet1 (2)'!$E$5:$L$10</definedName>
    <definedName name="solver_lhs3" localSheetId="3" hidden="1">'Sheet1 (3)'!$E$5:$L$10</definedName>
    <definedName name="solver_lhs4" localSheetId="1" hidden="1">'Aggregate Plan (trial)'!$E$5:$L$10</definedName>
    <definedName name="solver_lhs4" localSheetId="2" hidden="1">'Sheet1 (2)'!$E$5:$L$10</definedName>
    <definedName name="solver_lhs4" localSheetId="3" hidden="1">'Sheet1 (3)'!$E$5:$L$10</definedName>
    <definedName name="solver_lhs5" localSheetId="1" hidden="1">'Aggregate Plan (trial)'!$G$31:$G$36</definedName>
    <definedName name="solver_lhs5" localSheetId="2" hidden="1">'Sheet1 (2)'!$G$31:$G$36</definedName>
    <definedName name="solver_lhs5" localSheetId="3" hidden="1">'Sheet1 (3)'!$G$31:$G$36</definedName>
    <definedName name="solver_lhs6" localSheetId="1" hidden="1">'Aggregate Plan (trial)'!$H$31:$H$36</definedName>
    <definedName name="solver_lhs6" localSheetId="2" hidden="1">'Sheet1 (2)'!$H$31:$H$36</definedName>
    <definedName name="solver_lhs6" localSheetId="3" hidden="1">'Sheet1 (3)'!$H$31:$H$36</definedName>
    <definedName name="solver_lhs7" localSheetId="1" hidden="1">'Aggregate Plan (trial)'!$I$10</definedName>
    <definedName name="solver_lhs7" localSheetId="2" hidden="1">'Sheet1 (2)'!$I$10</definedName>
    <definedName name="solver_lhs7" localSheetId="3" hidden="1">'Sheet1 (3)'!$I$10</definedName>
    <definedName name="solver_lhs8" localSheetId="1" hidden="1">'Aggregate Plan (trial)'!$J$10</definedName>
    <definedName name="solver_lhs8" localSheetId="2" hidden="1">'Sheet1 (2)'!$J$10</definedName>
    <definedName name="solver_lhs8" localSheetId="3" hidden="1">'Sheet1 (3)'!$J$10</definedName>
    <definedName name="solver_lhs9" localSheetId="3" hidden="1">'Sheet1 (3)'!$J$10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1" hidden="1">0</definedName>
    <definedName name="solver_num" localSheetId="2" hidden="1">8</definedName>
    <definedName name="solver_num" localSheetId="3" hidden="1">8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2" hidden="1">'Sheet1 (2)'!$E$27</definedName>
    <definedName name="solver_opt" localSheetId="3" hidden="1">'Sheet1 (3)'!$E$27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2</definedName>
    <definedName name="solver_rbv" localSheetId="2" hidden="1">2</definedName>
    <definedName name="solver_rbv" localSheetId="3" hidden="1">1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3" localSheetId="1" hidden="1">4</definedName>
    <definedName name="solver_rel3" localSheetId="2" hidden="1">4</definedName>
    <definedName name="solver_rel3" localSheetId="3" hidden="1">4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3</definedName>
    <definedName name="solver_rel7" localSheetId="2" hidden="1">3</definedName>
    <definedName name="solver_rel7" localSheetId="3" hidden="1">3</definedName>
    <definedName name="solver_rel8" localSheetId="1" hidden="1">2</definedName>
    <definedName name="solver_rel8" localSheetId="2" hidden="1">2</definedName>
    <definedName name="solver_rel8" localSheetId="3" hidden="1">2</definedName>
    <definedName name="solver_rel9" localSheetId="3" hidden="1">2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2" localSheetId="1" hidden="1">0</definedName>
    <definedName name="solver_rhs2" localSheetId="2" hidden="1">0</definedName>
    <definedName name="solver_rhs2" localSheetId="3" hidden="1">0</definedName>
    <definedName name="solver_rhs3" localSheetId="1" hidden="1">"integer"</definedName>
    <definedName name="solver_rhs3" localSheetId="2" hidden="1">"integer"</definedName>
    <definedName name="solver_rhs3" localSheetId="3" hidden="1">integer</definedName>
    <definedName name="solver_rhs4" localSheetId="1" hidden="1">0</definedName>
    <definedName name="solver_rhs4" localSheetId="2" hidden="1">0</definedName>
    <definedName name="solver_rhs4" localSheetId="3" hidden="1">0</definedName>
    <definedName name="solver_rhs5" localSheetId="1" hidden="1">0</definedName>
    <definedName name="solver_rhs5" localSheetId="2" hidden="1">0</definedName>
    <definedName name="solver_rhs5" localSheetId="3" hidden="1">0</definedName>
    <definedName name="solver_rhs6" localSheetId="1" hidden="1">0</definedName>
    <definedName name="solver_rhs6" localSheetId="2" hidden="1">0</definedName>
    <definedName name="solver_rhs6" localSheetId="3" hidden="1">0</definedName>
    <definedName name="solver_rhs7" localSheetId="1" hidden="1">500</definedName>
    <definedName name="solver_rhs7" localSheetId="2" hidden="1">500</definedName>
    <definedName name="solver_rhs7" localSheetId="3" hidden="1">500</definedName>
    <definedName name="solver_rhs8" localSheetId="1" hidden="1">0</definedName>
    <definedName name="solver_rhs8" localSheetId="2" hidden="1">0</definedName>
    <definedName name="solver_rhs8" localSheetId="3" hidden="1">0</definedName>
    <definedName name="solver_rhs9" localSheetId="3" hidden="1">0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1" hidden="1">2</definedName>
    <definedName name="solver_scl" localSheetId="2" hidden="1">2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0" l="1"/>
  <c r="I18" i="10" s="1"/>
  <c r="J5" i="10"/>
  <c r="J18" i="10" s="1"/>
  <c r="G18" i="10"/>
  <c r="L18" i="10"/>
  <c r="K18" i="10"/>
  <c r="H18" i="10"/>
  <c r="F18" i="10"/>
  <c r="E18" i="10"/>
  <c r="G5" i="10" l="1"/>
  <c r="L5" i="10" s="1"/>
  <c r="A31" i="10"/>
  <c r="H36" i="10"/>
  <c r="G36" i="10"/>
  <c r="E36" i="10"/>
  <c r="D36" i="10"/>
  <c r="H35" i="10"/>
  <c r="G35" i="10"/>
  <c r="E35" i="10"/>
  <c r="D35" i="10"/>
  <c r="H34" i="10"/>
  <c r="G34" i="10"/>
  <c r="E34" i="10"/>
  <c r="D34" i="10"/>
  <c r="H33" i="10"/>
  <c r="G33" i="10"/>
  <c r="E33" i="10"/>
  <c r="M23" i="10"/>
  <c r="M22" i="10"/>
  <c r="M21" i="10"/>
  <c r="M20" i="10"/>
  <c r="M19" i="10"/>
  <c r="M18" i="10"/>
  <c r="B12" i="9"/>
  <c r="B11" i="9"/>
  <c r="B10" i="9"/>
  <c r="F18" i="8"/>
  <c r="G31" i="10" l="1"/>
  <c r="H31" i="10"/>
  <c r="D31" i="10"/>
  <c r="D33" i="10"/>
  <c r="G32" i="10"/>
  <c r="G18" i="8"/>
  <c r="H31" i="8"/>
  <c r="G31" i="8"/>
  <c r="E31" i="10" l="1"/>
  <c r="D32" i="10"/>
  <c r="H32" i="10"/>
  <c r="E32" i="8"/>
  <c r="E33" i="8"/>
  <c r="E34" i="8"/>
  <c r="E35" i="8"/>
  <c r="E36" i="8"/>
  <c r="E31" i="8"/>
  <c r="E32" i="10" l="1"/>
  <c r="H36" i="8"/>
  <c r="G36" i="8"/>
  <c r="D36" i="8"/>
  <c r="H35" i="8"/>
  <c r="G35" i="8"/>
  <c r="D35" i="8"/>
  <c r="H34" i="8"/>
  <c r="G34" i="8"/>
  <c r="D34" i="8"/>
  <c r="H33" i="8"/>
  <c r="G33" i="8"/>
  <c r="D33" i="8"/>
  <c r="H32" i="8"/>
  <c r="G32" i="8"/>
  <c r="D32" i="8"/>
  <c r="D31" i="8"/>
  <c r="M23" i="8"/>
  <c r="L23" i="8"/>
  <c r="K23" i="8"/>
  <c r="J23" i="8"/>
  <c r="I23" i="8"/>
  <c r="H23" i="8"/>
  <c r="G23" i="8"/>
  <c r="F23" i="8"/>
  <c r="E23" i="8"/>
  <c r="M22" i="8"/>
  <c r="L22" i="8"/>
  <c r="K22" i="8"/>
  <c r="J22" i="8"/>
  <c r="I22" i="8"/>
  <c r="H22" i="8"/>
  <c r="G22" i="8"/>
  <c r="F22" i="8"/>
  <c r="E22" i="8"/>
  <c r="M21" i="8"/>
  <c r="L21" i="8"/>
  <c r="K21" i="8"/>
  <c r="J21" i="8"/>
  <c r="I21" i="8"/>
  <c r="H21" i="8"/>
  <c r="G21" i="8"/>
  <c r="F21" i="8"/>
  <c r="E21" i="8"/>
  <c r="M20" i="8"/>
  <c r="L20" i="8"/>
  <c r="K20" i="8"/>
  <c r="J20" i="8"/>
  <c r="I20" i="8"/>
  <c r="H20" i="8"/>
  <c r="G20" i="8"/>
  <c r="F20" i="8"/>
  <c r="E20" i="8"/>
  <c r="M19" i="8"/>
  <c r="L19" i="8"/>
  <c r="K19" i="8"/>
  <c r="J19" i="8"/>
  <c r="I19" i="8"/>
  <c r="H19" i="8"/>
  <c r="G19" i="8"/>
  <c r="F19" i="8"/>
  <c r="E19" i="8"/>
  <c r="M18" i="8"/>
  <c r="L18" i="8"/>
  <c r="K18" i="8"/>
  <c r="J18" i="8"/>
  <c r="I18" i="8"/>
  <c r="H18" i="8"/>
  <c r="E18" i="8"/>
  <c r="O18" i="8" s="1"/>
  <c r="G32" i="2"/>
  <c r="G33" i="2"/>
  <c r="G34" i="2"/>
  <c r="G35" i="2"/>
  <c r="G36" i="2"/>
  <c r="G31" i="2"/>
  <c r="H32" i="2"/>
  <c r="H33" i="2"/>
  <c r="H34" i="2"/>
  <c r="H35" i="2"/>
  <c r="H36" i="2"/>
  <c r="H31" i="2"/>
  <c r="E32" i="2"/>
  <c r="E33" i="2"/>
  <c r="E34" i="2"/>
  <c r="E35" i="2"/>
  <c r="E36" i="2"/>
  <c r="E31" i="2"/>
  <c r="E27" i="8" l="1"/>
  <c r="D32" i="2" l="1"/>
  <c r="D33" i="2"/>
  <c r="D34" i="2"/>
  <c r="D35" i="2"/>
  <c r="D36" i="2"/>
  <c r="D31" i="2"/>
  <c r="L19" i="2"/>
  <c r="L20" i="2"/>
  <c r="L21" i="2"/>
  <c r="L22" i="2"/>
  <c r="L23" i="2"/>
  <c r="L18" i="2"/>
  <c r="K19" i="2"/>
  <c r="K20" i="2"/>
  <c r="K21" i="2"/>
  <c r="K22" i="2"/>
  <c r="K23" i="2"/>
  <c r="K18" i="2"/>
  <c r="J19" i="2"/>
  <c r="J20" i="2"/>
  <c r="J21" i="2"/>
  <c r="J22" i="2"/>
  <c r="J23" i="2"/>
  <c r="J18" i="2"/>
  <c r="I19" i="2"/>
  <c r="I20" i="2"/>
  <c r="I21" i="2"/>
  <c r="I22" i="2"/>
  <c r="I23" i="2"/>
  <c r="I18" i="2"/>
  <c r="H19" i="2"/>
  <c r="H20" i="2"/>
  <c r="H21" i="2"/>
  <c r="H22" i="2"/>
  <c r="H23" i="2"/>
  <c r="H18" i="2"/>
  <c r="G19" i="2"/>
  <c r="G20" i="2"/>
  <c r="G21" i="2"/>
  <c r="G22" i="2"/>
  <c r="G23" i="2"/>
  <c r="G18" i="2"/>
  <c r="F19" i="2"/>
  <c r="F20" i="2"/>
  <c r="F21" i="2"/>
  <c r="F22" i="2"/>
  <c r="F23" i="2"/>
  <c r="F18" i="2"/>
  <c r="E19" i="2"/>
  <c r="E20" i="2"/>
  <c r="E21" i="2"/>
  <c r="E22" i="2"/>
  <c r="E23" i="2"/>
  <c r="E18" i="2"/>
  <c r="M19" i="2"/>
  <c r="M20" i="2"/>
  <c r="M21" i="2"/>
  <c r="M22" i="2"/>
  <c r="M23" i="2"/>
  <c r="M18" i="2"/>
  <c r="E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tc={04CD9292-CB57-4EA0-88AE-1112D3BEACA5}</author>
    <author>tc={FC45011D-7C8F-4155-A0EB-180AB20579B0}</author>
  </authors>
  <commentList>
    <comment ref="G18" authorId="0" shapeId="0" xr:uid="{04CD9292-CB57-4EA0-88AE-1112D3BEAC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regular hour cost $4
We have 8 working hours per day for 20 days per month
Hence: Number of workers x $4x h hours x 20 days = Number of workers x $640</t>
        </r>
      </text>
    </comment>
    <comment ref="G30" authorId="1" shapeId="0" xr:uid="{FC45011D-7C8F-4155-A0EB-180AB20579B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have 20 working days
Each day regular hours are 8 hours
We are starting with 80 workers
Each unit needs 4 hours to be produced
So each worker can produce a unit each 4 hours, hence 2 units per day
Total hours available per worker per month are 8x20 = 160
So, each worker can produce (160/4) = 40 units per month using regular hours only 
In total we can say that 80 workers an produce (80 x 40) = 320 units using regular hours only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AHN</author>
  </authors>
  <commentList>
    <comment ref="E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AHN:</t>
        </r>
        <r>
          <rPr>
            <sz val="9"/>
            <color indexed="81"/>
            <rFont val="Tahoma"/>
            <family val="2"/>
          </rPr>
          <t xml:space="preserve">
inventory= previous inventory + current procution + current subcontract - current demand - previous backlog  </t>
        </r>
      </text>
    </comment>
    <comment ref="G3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AHN:</t>
        </r>
        <r>
          <rPr>
            <sz val="9"/>
            <color indexed="81"/>
            <rFont val="Tahoma"/>
            <family val="2"/>
          </rPr>
          <t xml:space="preserve">
Capacity &lt;= 40 for each worker + overtime hours / 4 </t>
        </r>
      </text>
    </comment>
    <comment ref="H3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AHN:</t>
        </r>
        <r>
          <rPr>
            <sz val="9"/>
            <color indexed="81"/>
            <rFont val="Tahoma"/>
            <family val="2"/>
          </rPr>
          <t xml:space="preserve">
Overtime hours &lt;= 10 hours per worker </t>
        </r>
      </text>
    </comment>
  </commentList>
</comments>
</file>

<file path=xl/sharedStrings.xml><?xml version="1.0" encoding="utf-8"?>
<sst xmlns="http://schemas.openxmlformats.org/spreadsheetml/2006/main" count="225" uniqueCount="69">
  <si>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</si>
  <si>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</si>
  <si>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</si>
  <si>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</si>
  <si>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</si>
  <si>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</si>
  <si>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</si>
  <si>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</si>
  <si>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</si>
  <si>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</si>
  <si>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</si>
  <si>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</si>
  <si>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</si>
  <si>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</si>
  <si>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</si>
  <si>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</si>
  <si>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</si>
  <si>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</si>
  <si>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</si>
  <si>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</si>
  <si>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 Decision Variables</t>
  </si>
  <si>
    <t>Period</t>
  </si>
  <si>
    <t># Hired</t>
  </si>
  <si>
    <t># Laid off</t>
  </si>
  <si>
    <t># Workforce</t>
  </si>
  <si>
    <t>Overtime</t>
  </si>
  <si>
    <t>Inventory</t>
  </si>
  <si>
    <t>Stockout</t>
  </si>
  <si>
    <t>Subcontract</t>
  </si>
  <si>
    <t>Production</t>
  </si>
  <si>
    <t>Demand</t>
  </si>
  <si>
    <t>Price</t>
  </si>
  <si>
    <r>
      <t>H</t>
    </r>
    <r>
      <rPr>
        <sz val="10"/>
        <rFont val="Arial"/>
        <family val="2"/>
      </rPr>
      <t>t</t>
    </r>
  </si>
  <si>
    <r>
      <t>L</t>
    </r>
    <r>
      <rPr>
        <sz val="10"/>
        <rFont val="Arial"/>
        <family val="2"/>
      </rPr>
      <t>t</t>
    </r>
  </si>
  <si>
    <r>
      <t>W</t>
    </r>
    <r>
      <rPr>
        <sz val="10"/>
        <rFont val="Arial"/>
        <family val="2"/>
      </rPr>
      <t>t</t>
    </r>
  </si>
  <si>
    <r>
      <t>O</t>
    </r>
    <r>
      <rPr>
        <sz val="10"/>
        <rFont val="Arial"/>
        <family val="2"/>
      </rPr>
      <t>t</t>
    </r>
  </si>
  <si>
    <r>
      <t>I</t>
    </r>
    <r>
      <rPr>
        <sz val="10"/>
        <rFont val="Arial"/>
        <family val="2"/>
      </rPr>
      <t>t</t>
    </r>
  </si>
  <si>
    <r>
      <t>S</t>
    </r>
    <r>
      <rPr>
        <sz val="10"/>
        <rFont val="Arial"/>
        <family val="2"/>
      </rPr>
      <t>t</t>
    </r>
  </si>
  <si>
    <r>
      <t>C</t>
    </r>
    <r>
      <rPr>
        <sz val="10"/>
        <rFont val="Arial"/>
        <family val="2"/>
      </rPr>
      <t>t</t>
    </r>
  </si>
  <si>
    <r>
      <t>P</t>
    </r>
    <r>
      <rPr>
        <sz val="10"/>
        <rFont val="Arial"/>
        <family val="2"/>
      </rPr>
      <t>t</t>
    </r>
  </si>
  <si>
    <t>Constraints</t>
  </si>
  <si>
    <t>Workforce</t>
  </si>
  <si>
    <t>Capacity</t>
  </si>
  <si>
    <t>Aggregate Plan Cost</t>
  </si>
  <si>
    <t>Total Cost</t>
  </si>
  <si>
    <t>=</t>
  </si>
  <si>
    <t>&lt;=</t>
  </si>
  <si>
    <t>40*W2 + O2/4 - P2</t>
  </si>
  <si>
    <t>10 W2 - O2</t>
  </si>
  <si>
    <t>I 1 + P2 + C2 -D2 -S1 + S2 - I2</t>
  </si>
  <si>
    <t>Family</t>
  </si>
  <si>
    <t>A</t>
  </si>
  <si>
    <t>B</t>
  </si>
  <si>
    <t>C</t>
  </si>
  <si>
    <t>D</t>
  </si>
  <si>
    <t>E</t>
  </si>
  <si>
    <t>F</t>
  </si>
  <si>
    <t>Material Cost/ Unit ($)</t>
  </si>
  <si>
    <t>Revenue/ Unit ($)</t>
  </si>
  <si>
    <t>Setup Time/Batch (hour)</t>
  </si>
  <si>
    <t>Average Batch Size</t>
  </si>
  <si>
    <t>Production Time/ Unit (hour)</t>
  </si>
  <si>
    <t>Net Production Time/Unit (hour)</t>
  </si>
  <si>
    <t>Percentage Share of Units Sold</t>
  </si>
  <si>
    <t>Aggregate Cost/unit</t>
  </si>
  <si>
    <t>Aggregate Revenue/unit</t>
  </si>
  <si>
    <t xml:space="preserve">Aggregate production time requited </t>
  </si>
  <si>
    <t>Weighted average</t>
  </si>
  <si>
    <t>ProductionCapacity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</si>
</sst>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64" fontId="4" fillId="2" borderId="4" xfId="1" applyNumberFormat="1" applyFont="1" applyFill="1" applyBorder="1"/>
    <xf numFmtId="0" fontId="4" fillId="0" borderId="5" xfId="0" applyFont="1" applyBorder="1"/>
    <xf numFmtId="164" fontId="4" fillId="2" borderId="6" xfId="1" applyNumberFormat="1" applyFont="1" applyFill="1" applyBorder="1"/>
    <xf numFmtId="0" fontId="4" fillId="0" borderId="0" xfId="0" applyFont="1"/>
    <xf numFmtId="0" fontId="4" fillId="0" borderId="7" xfId="0" applyFont="1" applyBorder="1"/>
    <xf numFmtId="165" fontId="4" fillId="3" borderId="8" xfId="2" applyNumberFormat="1" applyFont="1" applyFill="1" applyBorder="1" applyAlignment="1"/>
    <xf numFmtId="165" fontId="4" fillId="2" borderId="4" xfId="2" applyNumberFormat="1" applyFont="1" applyFill="1" applyBorder="1" applyAlignment="1"/>
    <xf numFmtId="165" fontId="4" fillId="3" borderId="4" xfId="2" applyNumberFormat="1" applyFont="1" applyFill="1" applyBorder="1" applyAlignment="1"/>
    <xf numFmtId="37" fontId="4" fillId="3" borderId="4" xfId="2" applyNumberFormat="1" applyFont="1" applyFill="1" applyBorder="1" applyAlignment="1"/>
    <xf numFmtId="165" fontId="4" fillId="3" borderId="6" xfId="2" applyNumberFormat="1" applyFont="1" applyFill="1" applyBorder="1" applyAlignment="1"/>
    <xf numFmtId="0" fontId="0" fillId="0" borderId="9" xfId="0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/>
    <xf numFmtId="0" fontId="4" fillId="0" borderId="20" xfId="0" applyFont="1" applyBorder="1"/>
    <xf numFmtId="164" fontId="4" fillId="0" borderId="21" xfId="1" applyNumberFormat="1" applyFont="1" applyFill="1" applyBorder="1"/>
    <xf numFmtId="0" fontId="4" fillId="0" borderId="12" xfId="0" applyFont="1" applyBorder="1"/>
    <xf numFmtId="164" fontId="4" fillId="0" borderId="22" xfId="1" applyNumberFormat="1" applyFont="1" applyFill="1" applyBorder="1"/>
    <xf numFmtId="0" fontId="0" fillId="0" borderId="23" xfId="0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4" fillId="3" borderId="18" xfId="0" applyNumberFormat="1" applyFont="1" applyFill="1" applyBorder="1" applyAlignment="1">
      <alignment horizontal="center"/>
    </xf>
    <xf numFmtId="3" fontId="4" fillId="3" borderId="19" xfId="0" applyNumberFormat="1" applyFont="1" applyFill="1" applyBorder="1" applyAlignment="1">
      <alignment horizontal="center"/>
    </xf>
    <xf numFmtId="3" fontId="4" fillId="5" borderId="18" xfId="0" applyNumberFormat="1" applyFont="1" applyFill="1" applyBorder="1" applyAlignment="1">
      <alignment horizontal="center"/>
    </xf>
    <xf numFmtId="3" fontId="4" fillId="5" borderId="19" xfId="0" applyNumberFormat="1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3" fontId="0" fillId="4" borderId="23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3" fontId="0" fillId="0" borderId="0" xfId="0" applyNumberFormat="1"/>
    <xf numFmtId="0" fontId="0" fillId="0" borderId="25" xfId="0" applyBorder="1" applyAlignment="1">
      <alignment horizontal="center"/>
    </xf>
    <xf numFmtId="9" fontId="0" fillId="0" borderId="23" xfId="3" applyFont="1" applyBorder="1" applyAlignment="1">
      <alignment horizontal="center"/>
    </xf>
    <xf numFmtId="0" fontId="0" fillId="4" borderId="23" xfId="0" applyFill="1" applyBorder="1"/>
    <xf numFmtId="0" fontId="0" fillId="4" borderId="23" xfId="0" applyFill="1" applyBorder="1" applyAlignment="1">
      <alignment horizontal="left"/>
    </xf>
    <xf numFmtId="0" fontId="2" fillId="4" borderId="23" xfId="0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6" fontId="0" fillId="0" borderId="0" xfId="0" applyNumberFormat="1"/>
    <xf numFmtId="4" fontId="4" fillId="5" borderId="1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4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ad Hussain AlNasser" id="{07A62BD1-5E60-4FD8-ADE9-019D061082B5}" userId="S::aalnasser@kfupm.edu.sa::9943874e-346e-4d40-bf29-ab12ed6cad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4-10-05T09:28:59.61" personId="{07A62BD1-5E60-4FD8-ADE9-019D061082B5}" id="{04CD9292-CB57-4EA0-88AE-1112D3BEACA5}">
    <text>Each regular hour cost $4
We have 8 working hours per day for 20 days per month
Hence: Number of workers x $4x h hours x 20 days = Number of workers x $640</text>
  </threadedComment>
  <threadedComment ref="G30" dT="2024-10-03T10:33:39.09" personId="{07A62BD1-5E60-4FD8-ADE9-019D061082B5}" id="{FC45011D-7C8F-4155-A0EB-180AB20579B0}">
    <text xml:space="preserve">We have 20 working days
Each day regular hours are 8 hours
We are starting with 80 workers
Each unit needs 4 hours to be produced
So each worker can produce a unit each 4 hours, hence 2 units per day
Total hours available per worker per month are 8x20 = 160
So, each worker can produce (160/4) = 40 units per month using regular hours only 
In total we can say that 80 workers an produce (80 x 40) = 320 units using regular hours only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5F61-0350-4DEE-B512-5CACD1AB117F}">
  <dimension ref="A1:H12"/>
  <sheetViews>
    <sheetView workbookViewId="0">
      <selection activeCell="D13" sqref="D13"/>
    </sheetView>
  </sheetViews>
  <sheetFormatPr defaultRowHeight="14.5" x14ac:dyDescent="0.35"/>
  <cols>
    <col min="1" max="1" width="31.36328125" bestFit="1" customWidth="1"/>
    <col min="2" max="2" width="19.54296875" bestFit="1" customWidth="1"/>
    <col min="3" max="3" width="15.54296875" bestFit="1" customWidth="1"/>
    <col min="4" max="4" width="21.54296875" bestFit="1" customWidth="1"/>
    <col min="5" max="5" width="16.36328125" bestFit="1" customWidth="1"/>
    <col min="6" max="6" width="25.26953125" bestFit="1" customWidth="1"/>
    <col min="7" max="7" width="28.1796875" bestFit="1" customWidth="1"/>
    <col min="8" max="8" width="26.453125" bestFit="1" customWidth="1"/>
  </cols>
  <sheetData>
    <row r="1" spans="1:8" x14ac:dyDescent="0.35">
      <c r="A1" s="28" t="s">
        <v>50</v>
      </c>
      <c r="B1" s="28" t="s">
        <v>57</v>
      </c>
      <c r="C1" s="28" t="s">
        <v>58</v>
      </c>
      <c r="D1" s="28" t="s">
        <v>59</v>
      </c>
      <c r="E1" s="28" t="s">
        <v>60</v>
      </c>
      <c r="F1" s="28" t="s">
        <v>61</v>
      </c>
      <c r="G1" s="28" t="s">
        <v>62</v>
      </c>
      <c r="H1" s="28" t="s">
        <v>63</v>
      </c>
    </row>
    <row r="2" spans="1:8" x14ac:dyDescent="0.35">
      <c r="A2" s="28" t="s">
        <v>51</v>
      </c>
      <c r="B2" s="28">
        <v>15</v>
      </c>
      <c r="C2" s="28">
        <v>54</v>
      </c>
      <c r="D2" s="28">
        <v>8</v>
      </c>
      <c r="E2" s="28">
        <v>50</v>
      </c>
      <c r="F2" s="28">
        <v>5.6</v>
      </c>
      <c r="G2" s="28">
        <v>5.76</v>
      </c>
      <c r="H2" s="41">
        <v>0.1</v>
      </c>
    </row>
    <row r="3" spans="1:8" x14ac:dyDescent="0.35">
      <c r="A3" s="28" t="s">
        <v>52</v>
      </c>
      <c r="B3" s="28">
        <v>7</v>
      </c>
      <c r="C3" s="28">
        <v>30</v>
      </c>
      <c r="D3" s="28">
        <v>6</v>
      </c>
      <c r="E3" s="28">
        <v>150</v>
      </c>
      <c r="F3" s="28">
        <v>3</v>
      </c>
      <c r="G3" s="28">
        <v>3.04</v>
      </c>
      <c r="H3" s="41">
        <v>0.25</v>
      </c>
    </row>
    <row r="4" spans="1:8" x14ac:dyDescent="0.35">
      <c r="A4" s="28" t="s">
        <v>53</v>
      </c>
      <c r="B4" s="28">
        <v>9</v>
      </c>
      <c r="C4" s="28">
        <v>39</v>
      </c>
      <c r="D4" s="28">
        <v>8</v>
      </c>
      <c r="E4" s="28">
        <v>100</v>
      </c>
      <c r="F4" s="28">
        <v>3.8</v>
      </c>
      <c r="G4" s="28">
        <v>3.88</v>
      </c>
      <c r="H4" s="41">
        <v>0.2</v>
      </c>
    </row>
    <row r="5" spans="1:8" x14ac:dyDescent="0.35">
      <c r="A5" s="28" t="s">
        <v>54</v>
      </c>
      <c r="B5" s="28">
        <v>12</v>
      </c>
      <c r="C5" s="28">
        <v>49</v>
      </c>
      <c r="D5" s="28">
        <v>10</v>
      </c>
      <c r="E5" s="28">
        <v>50</v>
      </c>
      <c r="F5" s="28">
        <v>4.8</v>
      </c>
      <c r="G5" s="28">
        <v>5</v>
      </c>
      <c r="H5" s="41">
        <v>0.1</v>
      </c>
    </row>
    <row r="6" spans="1:8" x14ac:dyDescent="0.35">
      <c r="A6" s="28" t="s">
        <v>55</v>
      </c>
      <c r="B6" s="28">
        <v>9</v>
      </c>
      <c r="C6" s="28">
        <v>36</v>
      </c>
      <c r="D6" s="28">
        <v>6</v>
      </c>
      <c r="E6" s="28">
        <v>100</v>
      </c>
      <c r="F6" s="28">
        <v>3.6</v>
      </c>
      <c r="G6" s="28">
        <v>3.66</v>
      </c>
      <c r="H6" s="41">
        <v>0.2</v>
      </c>
    </row>
    <row r="7" spans="1:8" x14ac:dyDescent="0.35">
      <c r="A7" s="28" t="s">
        <v>56</v>
      </c>
      <c r="B7" s="28">
        <v>13</v>
      </c>
      <c r="C7" s="28">
        <v>48</v>
      </c>
      <c r="D7" s="28">
        <v>5</v>
      </c>
      <c r="E7" s="28">
        <v>75</v>
      </c>
      <c r="F7" s="28">
        <v>4.3</v>
      </c>
      <c r="G7" s="28">
        <v>4.37</v>
      </c>
      <c r="H7" s="41">
        <v>0.15</v>
      </c>
    </row>
    <row r="9" spans="1:8" x14ac:dyDescent="0.35">
      <c r="A9" s="42"/>
      <c r="B9" s="44" t="s">
        <v>67</v>
      </c>
    </row>
    <row r="10" spans="1:8" x14ac:dyDescent="0.35">
      <c r="A10" s="43" t="s">
        <v>64</v>
      </c>
      <c r="B10" s="44">
        <f>SUMPRODUCT(B2:B7,H2:H7)</f>
        <v>10</v>
      </c>
    </row>
    <row r="11" spans="1:8" x14ac:dyDescent="0.35">
      <c r="A11" s="43" t="s">
        <v>65</v>
      </c>
      <c r="B11" s="44">
        <f>SUMPRODUCT(C2:C7,H2:H7)</f>
        <v>40</v>
      </c>
    </row>
    <row r="12" spans="1:8" x14ac:dyDescent="0.35">
      <c r="A12" s="43" t="s">
        <v>66</v>
      </c>
      <c r="B12" s="44">
        <f>SUMPRODUCT(G2:G7,H2:H7)</f>
        <v>3.9995000000000003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967B-0519-4AD1-92DD-BB64416BFBD4}">
  <dimension ref="A1:N36"/>
  <sheetViews>
    <sheetView topLeftCell="B2" workbookViewId="0">
      <selection activeCell="C23" sqref="C23"/>
    </sheetView>
  </sheetViews>
  <sheetFormatPr defaultRowHeight="14.5" x14ac:dyDescent="0.35"/>
  <cols>
    <col min="1" max="1" width="33.08984375" bestFit="1" customWidth="1"/>
    <col min="2" max="2" width="16" bestFit="1" customWidth="1"/>
    <col min="4" max="4" width="20.08984375" customWidth="1"/>
    <col min="5" max="5" width="9.6328125" bestFit="1" customWidth="1"/>
    <col min="6" max="6" width="9.54296875" bestFit="1" customWidth="1"/>
    <col min="7" max="7" width="17.08984375" bestFit="1" customWidth="1"/>
    <col min="8" max="8" width="9.1796875" bestFit="1" customWidth="1"/>
    <col min="9" max="9" width="9.453125" bestFit="1" customWidth="1"/>
    <col min="10" max="10" width="9" bestFit="1" customWidth="1"/>
    <col min="11" max="11" width="11.7265625" bestFit="1" customWidth="1"/>
    <col min="12" max="12" width="13.26953125" bestFit="1" customWidth="1"/>
  </cols>
  <sheetData>
    <row r="1" spans="1:14" ht="15" thickBot="1" x14ac:dyDescent="0.4">
      <c r="A1" s="1" t="s">
        <v>0</v>
      </c>
      <c r="D1" s="1" t="s">
        <v>20</v>
      </c>
    </row>
    <row r="2" spans="1:14" ht="18" thickBot="1" x14ac:dyDescent="0.4">
      <c r="D2" s="15"/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7" t="s">
        <v>39</v>
      </c>
    </row>
    <row r="3" spans="1:14" ht="15" thickBot="1" x14ac:dyDescent="0.4">
      <c r="A3" s="2" t="s">
        <v>1</v>
      </c>
      <c r="B3" s="3" t="s">
        <v>0</v>
      </c>
      <c r="D3" s="18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20" t="s">
        <v>29</v>
      </c>
      <c r="M3" s="21" t="s">
        <v>30</v>
      </c>
      <c r="N3" s="22" t="s">
        <v>31</v>
      </c>
    </row>
    <row r="4" spans="1:14" x14ac:dyDescent="0.35">
      <c r="A4" s="4" t="s">
        <v>2</v>
      </c>
      <c r="B4" s="5">
        <v>1600</v>
      </c>
      <c r="D4" s="23">
        <v>0</v>
      </c>
      <c r="E4" s="30">
        <v>0</v>
      </c>
      <c r="F4" s="30">
        <v>0</v>
      </c>
      <c r="G4" s="30">
        <v>80</v>
      </c>
      <c r="H4" s="30">
        <v>0</v>
      </c>
      <c r="I4" s="30">
        <v>1000</v>
      </c>
      <c r="J4" s="30">
        <v>0</v>
      </c>
      <c r="K4" s="30">
        <v>0</v>
      </c>
      <c r="L4" s="31"/>
      <c r="M4" s="24"/>
      <c r="N4" s="24"/>
    </row>
    <row r="5" spans="1:14" x14ac:dyDescent="0.35">
      <c r="A5" s="4" t="s">
        <v>3</v>
      </c>
      <c r="B5" s="5">
        <v>3000</v>
      </c>
      <c r="D5" s="23">
        <v>1</v>
      </c>
      <c r="E5" s="32">
        <v>0</v>
      </c>
      <c r="F5" s="32">
        <v>0</v>
      </c>
      <c r="G5" s="45">
        <f>G4+E5-F5</f>
        <v>80</v>
      </c>
      <c r="H5" s="32">
        <v>0</v>
      </c>
      <c r="I5" s="45">
        <f>MAX(0,I4+L5+K5-M5-J4)</f>
        <v>2600</v>
      </c>
      <c r="J5" s="45">
        <f>MAX(J4+M5-I4-L5-K5,0)</f>
        <v>0</v>
      </c>
      <c r="K5" s="32"/>
      <c r="L5" s="47">
        <f>(G5*40)+(H5/4)</f>
        <v>3200</v>
      </c>
      <c r="M5" s="25">
        <v>1600</v>
      </c>
      <c r="N5" s="25"/>
    </row>
    <row r="6" spans="1:14" x14ac:dyDescent="0.35">
      <c r="A6" s="4" t="s">
        <v>4</v>
      </c>
      <c r="B6" s="5">
        <v>3200</v>
      </c>
      <c r="D6" s="23">
        <v>2</v>
      </c>
      <c r="E6" s="32"/>
      <c r="F6" s="32"/>
      <c r="G6" s="45"/>
      <c r="H6" s="32"/>
      <c r="I6" s="45"/>
      <c r="J6" s="45"/>
      <c r="K6" s="32"/>
      <c r="L6" s="33"/>
      <c r="M6" s="25">
        <v>3000</v>
      </c>
      <c r="N6" s="25"/>
    </row>
    <row r="7" spans="1:14" x14ac:dyDescent="0.35">
      <c r="A7" s="4" t="s">
        <v>5</v>
      </c>
      <c r="B7" s="5">
        <v>3800</v>
      </c>
      <c r="D7" s="23">
        <v>3</v>
      </c>
      <c r="E7" s="32"/>
      <c r="F7" s="32"/>
      <c r="G7" s="45"/>
      <c r="H7" s="32"/>
      <c r="I7" s="45"/>
      <c r="J7" s="45"/>
      <c r="K7" s="32"/>
      <c r="L7" s="33"/>
      <c r="M7" s="25">
        <v>3200</v>
      </c>
      <c r="N7" s="25"/>
    </row>
    <row r="8" spans="1:14" x14ac:dyDescent="0.35">
      <c r="A8" s="4" t="s">
        <v>6</v>
      </c>
      <c r="B8" s="5">
        <v>2200</v>
      </c>
      <c r="D8" s="23">
        <v>4</v>
      </c>
      <c r="E8" s="32"/>
      <c r="F8" s="32"/>
      <c r="G8" s="45"/>
      <c r="H8" s="32"/>
      <c r="I8" s="45"/>
      <c r="J8" s="45"/>
      <c r="K8" s="32"/>
      <c r="L8" s="33"/>
      <c r="M8" s="25">
        <v>3800</v>
      </c>
      <c r="N8" s="25"/>
    </row>
    <row r="9" spans="1:14" ht="15" thickBot="1" x14ac:dyDescent="0.4">
      <c r="A9" s="6" t="s">
        <v>7</v>
      </c>
      <c r="B9" s="7">
        <v>2200</v>
      </c>
      <c r="D9" s="23">
        <v>5</v>
      </c>
      <c r="E9" s="32"/>
      <c r="F9" s="32"/>
      <c r="G9" s="45"/>
      <c r="H9" s="32"/>
      <c r="I9" s="45"/>
      <c r="J9" s="45"/>
      <c r="K9" s="32"/>
      <c r="L9" s="33"/>
      <c r="M9" s="25">
        <v>2200</v>
      </c>
      <c r="N9" s="25"/>
    </row>
    <row r="10" spans="1:14" ht="15" thickBot="1" x14ac:dyDescent="0.4">
      <c r="A10" s="8"/>
      <c r="B10" s="8"/>
      <c r="D10" s="26">
        <v>6</v>
      </c>
      <c r="E10" s="32"/>
      <c r="F10" s="32"/>
      <c r="G10" s="45"/>
      <c r="H10" s="32"/>
      <c r="I10" s="45"/>
      <c r="J10" s="45"/>
      <c r="K10" s="32"/>
      <c r="L10" s="33"/>
      <c r="M10" s="25">
        <v>2200</v>
      </c>
      <c r="N10" s="27"/>
    </row>
    <row r="11" spans="1:14" x14ac:dyDescent="0.35">
      <c r="A11" s="1" t="s">
        <v>8</v>
      </c>
      <c r="B11" s="8"/>
    </row>
    <row r="12" spans="1:14" ht="15" thickBot="1" x14ac:dyDescent="0.4">
      <c r="A12" s="8"/>
      <c r="B12" s="8"/>
      <c r="G12" s="46"/>
      <c r="K12" s="38"/>
    </row>
    <row r="13" spans="1:14" ht="15" thickBot="1" x14ac:dyDescent="0.4">
      <c r="A13" s="2" t="s">
        <v>9</v>
      </c>
      <c r="B13" s="3" t="s">
        <v>10</v>
      </c>
      <c r="K13" s="37"/>
    </row>
    <row r="14" spans="1:14" ht="15" thickBot="1" x14ac:dyDescent="0.4">
      <c r="A14" s="9" t="s">
        <v>11</v>
      </c>
      <c r="B14" s="10">
        <v>10</v>
      </c>
      <c r="D14" s="1" t="s">
        <v>43</v>
      </c>
    </row>
    <row r="15" spans="1:14" ht="18" thickBot="1" x14ac:dyDescent="0.4">
      <c r="A15" s="4" t="s">
        <v>12</v>
      </c>
      <c r="B15" s="11">
        <v>2</v>
      </c>
      <c r="D15" s="15"/>
      <c r="E15" s="16" t="s">
        <v>32</v>
      </c>
      <c r="F15" s="16" t="s">
        <v>33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38</v>
      </c>
      <c r="L15" s="17" t="s">
        <v>39</v>
      </c>
    </row>
    <row r="16" spans="1:14" ht="15" thickBot="1" x14ac:dyDescent="0.4">
      <c r="A16" s="4" t="s">
        <v>13</v>
      </c>
      <c r="B16" s="12">
        <v>5</v>
      </c>
      <c r="D16" s="18" t="s">
        <v>21</v>
      </c>
      <c r="E16" s="19" t="s">
        <v>22</v>
      </c>
      <c r="F16" s="19" t="s">
        <v>23</v>
      </c>
      <c r="G16" s="19" t="s">
        <v>24</v>
      </c>
      <c r="H16" s="19" t="s">
        <v>25</v>
      </c>
      <c r="I16" s="19" t="s">
        <v>26</v>
      </c>
      <c r="J16" s="19" t="s">
        <v>27</v>
      </c>
      <c r="K16" s="19" t="s">
        <v>28</v>
      </c>
      <c r="L16" s="20" t="s">
        <v>29</v>
      </c>
      <c r="M16" s="21" t="s">
        <v>30</v>
      </c>
      <c r="N16" s="22" t="s">
        <v>31</v>
      </c>
    </row>
    <row r="17" spans="1:14" x14ac:dyDescent="0.35">
      <c r="A17" s="4" t="s">
        <v>14</v>
      </c>
      <c r="B17" s="12">
        <v>300</v>
      </c>
      <c r="D17" s="23">
        <v>0</v>
      </c>
      <c r="E17" s="30">
        <v>0</v>
      </c>
      <c r="F17" s="30">
        <v>0</v>
      </c>
      <c r="G17" s="30">
        <v>80</v>
      </c>
      <c r="H17" s="30">
        <v>0</v>
      </c>
      <c r="I17" s="30">
        <v>1000</v>
      </c>
      <c r="J17" s="30">
        <v>0</v>
      </c>
      <c r="K17" s="30">
        <v>0</v>
      </c>
      <c r="L17" s="31"/>
      <c r="M17" s="24"/>
      <c r="N17" s="24"/>
    </row>
    <row r="18" spans="1:14" x14ac:dyDescent="0.35">
      <c r="A18" s="4" t="s">
        <v>15</v>
      </c>
      <c r="B18" s="12">
        <v>500</v>
      </c>
      <c r="D18" s="23">
        <v>1</v>
      </c>
      <c r="E18" s="32">
        <f>B17*E5</f>
        <v>0</v>
      </c>
      <c r="F18" s="32">
        <f>B18*F5</f>
        <v>0</v>
      </c>
      <c r="G18" s="32">
        <f>G5*640</f>
        <v>51200</v>
      </c>
      <c r="H18" s="32">
        <f>B21*H5</f>
        <v>0</v>
      </c>
      <c r="I18" s="32">
        <f>B15*I5</f>
        <v>5200</v>
      </c>
      <c r="J18" s="32">
        <f>B16*J5</f>
        <v>0</v>
      </c>
      <c r="K18" s="32">
        <f>K5*B22</f>
        <v>0</v>
      </c>
      <c r="L18" s="33">
        <f>L5*B14</f>
        <v>32000</v>
      </c>
      <c r="M18" s="25">
        <f>M5</f>
        <v>1600</v>
      </c>
      <c r="N18" s="25"/>
    </row>
    <row r="19" spans="1:14" x14ac:dyDescent="0.35">
      <c r="A19" s="4" t="s">
        <v>16</v>
      </c>
      <c r="B19" s="13">
        <v>4</v>
      </c>
      <c r="D19" s="23">
        <v>2</v>
      </c>
      <c r="E19" s="32"/>
      <c r="F19" s="32"/>
      <c r="G19" s="32"/>
      <c r="H19" s="32"/>
      <c r="I19" s="32"/>
      <c r="J19" s="32"/>
      <c r="K19" s="32"/>
      <c r="L19" s="33"/>
      <c r="M19" s="25">
        <f t="shared" ref="M19:M23" si="0">M6</f>
        <v>3000</v>
      </c>
      <c r="N19" s="25"/>
    </row>
    <row r="20" spans="1:14" x14ac:dyDescent="0.35">
      <c r="A20" s="4" t="s">
        <v>17</v>
      </c>
      <c r="B20" s="12">
        <v>4</v>
      </c>
      <c r="D20" s="23">
        <v>3</v>
      </c>
      <c r="E20" s="32"/>
      <c r="F20" s="32"/>
      <c r="G20" s="32"/>
      <c r="H20" s="32"/>
      <c r="I20" s="32"/>
      <c r="J20" s="32"/>
      <c r="K20" s="32"/>
      <c r="L20" s="33"/>
      <c r="M20" s="25">
        <f t="shared" si="0"/>
        <v>3200</v>
      </c>
      <c r="N20" s="25"/>
    </row>
    <row r="21" spans="1:14" x14ac:dyDescent="0.35">
      <c r="A21" s="4" t="s">
        <v>18</v>
      </c>
      <c r="B21" s="11">
        <v>6</v>
      </c>
      <c r="D21" s="23">
        <v>4</v>
      </c>
      <c r="E21" s="32"/>
      <c r="F21" s="32"/>
      <c r="G21" s="32"/>
      <c r="H21" s="32"/>
      <c r="I21" s="32"/>
      <c r="J21" s="32"/>
      <c r="K21" s="32"/>
      <c r="L21" s="33"/>
      <c r="M21" s="25">
        <f t="shared" si="0"/>
        <v>3800</v>
      </c>
      <c r="N21" s="25"/>
    </row>
    <row r="22" spans="1:14" ht="15" thickBot="1" x14ac:dyDescent="0.4">
      <c r="A22" s="6" t="s">
        <v>19</v>
      </c>
      <c r="B22" s="14">
        <v>30</v>
      </c>
      <c r="D22" s="23">
        <v>5</v>
      </c>
      <c r="E22" s="32"/>
      <c r="F22" s="32"/>
      <c r="G22" s="32"/>
      <c r="H22" s="32"/>
      <c r="I22" s="32"/>
      <c r="J22" s="32"/>
      <c r="K22" s="32"/>
      <c r="L22" s="33"/>
      <c r="M22" s="25">
        <f t="shared" si="0"/>
        <v>2200</v>
      </c>
      <c r="N22" s="25"/>
    </row>
    <row r="23" spans="1:14" ht="15" thickBot="1" x14ac:dyDescent="0.4">
      <c r="D23" s="26">
        <v>6</v>
      </c>
      <c r="E23" s="32"/>
      <c r="F23" s="32"/>
      <c r="G23" s="32"/>
      <c r="H23" s="32"/>
      <c r="I23" s="32"/>
      <c r="J23" s="32"/>
      <c r="K23" s="32"/>
      <c r="L23" s="33"/>
      <c r="M23" s="25">
        <f t="shared" si="0"/>
        <v>2200</v>
      </c>
      <c r="N23" s="27"/>
    </row>
    <row r="24" spans="1:14" x14ac:dyDescent="0.35">
      <c r="D24" s="28"/>
      <c r="E24" s="28"/>
      <c r="F24" s="28"/>
      <c r="G24" s="28"/>
    </row>
    <row r="25" spans="1:14" x14ac:dyDescent="0.35">
      <c r="D25" s="28"/>
      <c r="E25" s="28"/>
      <c r="F25" s="28"/>
      <c r="G25" s="28"/>
    </row>
    <row r="26" spans="1:14" x14ac:dyDescent="0.35">
      <c r="D26" s="28"/>
      <c r="E26" s="28"/>
      <c r="F26" s="28"/>
      <c r="G26" s="28"/>
    </row>
    <row r="27" spans="1:14" x14ac:dyDescent="0.35">
      <c r="D27" s="34" t="s">
        <v>44</v>
      </c>
      <c r="E27" s="35"/>
      <c r="F27" s="28"/>
      <c r="G27" s="28"/>
    </row>
    <row r="29" spans="1:14" x14ac:dyDescent="0.35">
      <c r="C29" s="49" t="s">
        <v>40</v>
      </c>
      <c r="D29" s="49"/>
      <c r="E29" s="49"/>
      <c r="F29" s="49"/>
      <c r="G29" s="49"/>
      <c r="H29" s="49"/>
    </row>
    <row r="30" spans="1:14" x14ac:dyDescent="0.35">
      <c r="C30" s="28"/>
      <c r="D30" s="28" t="s">
        <v>41</v>
      </c>
      <c r="E30" s="28" t="s">
        <v>26</v>
      </c>
      <c r="F30" s="28"/>
      <c r="G30" s="28" t="s">
        <v>68</v>
      </c>
      <c r="H30" s="28" t="s">
        <v>25</v>
      </c>
    </row>
    <row r="31" spans="1:14" x14ac:dyDescent="0.35">
      <c r="A31">
        <f>2.5*20</f>
        <v>50</v>
      </c>
      <c r="C31" s="28">
        <v>1</v>
      </c>
      <c r="D31" s="29">
        <f>G4+E5-F5-G5</f>
        <v>0</v>
      </c>
      <c r="E31" s="36">
        <f>I4+L5+K5-J4-M5+J5-I5</f>
        <v>0</v>
      </c>
      <c r="F31" s="36"/>
      <c r="G31" s="28">
        <f>(40*G5)+(H5/4)-L5</f>
        <v>0</v>
      </c>
      <c r="H31" s="28">
        <f>(10*G5)-H5</f>
        <v>800</v>
      </c>
    </row>
    <row r="32" spans="1:14" x14ac:dyDescent="0.35">
      <c r="C32" s="28">
        <v>2</v>
      </c>
      <c r="D32" s="29">
        <f t="shared" ref="D32:D36" si="1">G5+E6-F6-G6</f>
        <v>80</v>
      </c>
      <c r="E32" s="36">
        <f t="shared" ref="E32:E36" si="2">I5+L6+K6-J5-M6+J6-I6</f>
        <v>-400</v>
      </c>
      <c r="F32" s="36"/>
      <c r="G32" s="28">
        <f t="shared" ref="G32:G36" si="3">(40*G6)+(H6/4)-L6</f>
        <v>0</v>
      </c>
      <c r="H32" s="28">
        <f t="shared" ref="H32:H36" si="4">(10*G6)-H6</f>
        <v>0</v>
      </c>
    </row>
    <row r="33" spans="3:8" x14ac:dyDescent="0.35">
      <c r="C33" s="28">
        <v>3</v>
      </c>
      <c r="D33" s="29">
        <f t="shared" si="1"/>
        <v>0</v>
      </c>
      <c r="E33" s="36">
        <f t="shared" si="2"/>
        <v>-3200</v>
      </c>
      <c r="F33" s="36"/>
      <c r="G33" s="28">
        <f t="shared" si="3"/>
        <v>0</v>
      </c>
      <c r="H33" s="28">
        <f t="shared" si="4"/>
        <v>0</v>
      </c>
    </row>
    <row r="34" spans="3:8" x14ac:dyDescent="0.35">
      <c r="C34" s="28">
        <v>4</v>
      </c>
      <c r="D34" s="29">
        <f t="shared" si="1"/>
        <v>0</v>
      </c>
      <c r="E34" s="36">
        <f t="shared" si="2"/>
        <v>-3800</v>
      </c>
      <c r="F34" s="36"/>
      <c r="G34" s="28">
        <f t="shared" si="3"/>
        <v>0</v>
      </c>
      <c r="H34" s="28">
        <f t="shared" si="4"/>
        <v>0</v>
      </c>
    </row>
    <row r="35" spans="3:8" x14ac:dyDescent="0.35">
      <c r="C35" s="28">
        <v>5</v>
      </c>
      <c r="D35" s="29">
        <f t="shared" si="1"/>
        <v>0</v>
      </c>
      <c r="E35" s="36">
        <f t="shared" si="2"/>
        <v>-2200</v>
      </c>
      <c r="F35" s="36"/>
      <c r="G35" s="28">
        <f t="shared" si="3"/>
        <v>0</v>
      </c>
      <c r="H35" s="28">
        <f t="shared" si="4"/>
        <v>0</v>
      </c>
    </row>
    <row r="36" spans="3:8" x14ac:dyDescent="0.35">
      <c r="C36" s="28">
        <v>6</v>
      </c>
      <c r="D36" s="29">
        <f t="shared" si="1"/>
        <v>0</v>
      </c>
      <c r="E36" s="36">
        <f t="shared" si="2"/>
        <v>-2200</v>
      </c>
      <c r="F36" s="36"/>
      <c r="G36" s="28">
        <f t="shared" si="3"/>
        <v>0</v>
      </c>
      <c r="H36" s="28">
        <f t="shared" si="4"/>
        <v>0</v>
      </c>
    </row>
  </sheetData>
  <mergeCells count="1">
    <mergeCell ref="C29:H29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opLeftCell="A10" workbookViewId="0">
      <selection activeCell="L36" sqref="L36"/>
    </sheetView>
  </sheetViews>
  <sheetFormatPr defaultRowHeight="14.5" x14ac:dyDescent="0.35"/>
  <cols>
    <col min="1" max="1" width="33.08984375" bestFit="1" customWidth="1"/>
    <col min="2" max="2" width="16" bestFit="1" customWidth="1"/>
    <col min="4" max="4" width="20.08984375" customWidth="1"/>
    <col min="5" max="5" width="9.6328125" bestFit="1" customWidth="1"/>
    <col min="6" max="6" width="9.54296875" bestFit="1" customWidth="1"/>
    <col min="7" max="7" width="11.81640625" bestFit="1" customWidth="1"/>
    <col min="8" max="8" width="9.1796875" bestFit="1" customWidth="1"/>
    <col min="9" max="9" width="9.453125" bestFit="1" customWidth="1"/>
    <col min="10" max="10" width="9" bestFit="1" customWidth="1"/>
    <col min="11" max="11" width="11.7265625" bestFit="1" customWidth="1"/>
    <col min="12" max="12" width="13.26953125" bestFit="1" customWidth="1"/>
  </cols>
  <sheetData>
    <row r="1" spans="1:14" ht="15" thickBot="1" x14ac:dyDescent="0.4">
      <c r="A1" s="1" t="s">
        <v>0</v>
      </c>
      <c r="D1" s="1" t="s">
        <v>20</v>
      </c>
    </row>
    <row r="2" spans="1:14" ht="18" thickBot="1" x14ac:dyDescent="0.4">
      <c r="D2" s="15"/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7" t="s">
        <v>39</v>
      </c>
    </row>
    <row r="3" spans="1:14" ht="15" thickBot="1" x14ac:dyDescent="0.4">
      <c r="A3" s="2" t="s">
        <v>1</v>
      </c>
      <c r="B3" s="3" t="s">
        <v>0</v>
      </c>
      <c r="D3" s="18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20" t="s">
        <v>29</v>
      </c>
      <c r="M3" s="21" t="s">
        <v>30</v>
      </c>
      <c r="N3" s="22" t="s">
        <v>31</v>
      </c>
    </row>
    <row r="4" spans="1:14" x14ac:dyDescent="0.35">
      <c r="A4" s="4" t="s">
        <v>2</v>
      </c>
      <c r="B4" s="5">
        <v>1600</v>
      </c>
      <c r="D4" s="23">
        <v>0</v>
      </c>
      <c r="E4" s="30">
        <v>0</v>
      </c>
      <c r="F4" s="30">
        <v>0</v>
      </c>
      <c r="G4" s="30">
        <v>80</v>
      </c>
      <c r="H4" s="30">
        <v>0</v>
      </c>
      <c r="I4" s="30">
        <v>1000</v>
      </c>
      <c r="J4" s="30">
        <v>0</v>
      </c>
      <c r="K4" s="30">
        <v>0</v>
      </c>
      <c r="L4" s="31"/>
      <c r="M4" s="24"/>
      <c r="N4" s="24"/>
    </row>
    <row r="5" spans="1:14" x14ac:dyDescent="0.35">
      <c r="A5" s="4" t="s">
        <v>3</v>
      </c>
      <c r="B5" s="5">
        <v>3000</v>
      </c>
      <c r="D5" s="23">
        <v>1</v>
      </c>
      <c r="E5" s="32">
        <v>0</v>
      </c>
      <c r="F5" s="32">
        <v>16</v>
      </c>
      <c r="G5" s="32">
        <v>64</v>
      </c>
      <c r="H5" s="32">
        <v>0</v>
      </c>
      <c r="I5" s="32">
        <v>1960</v>
      </c>
      <c r="J5" s="32">
        <v>0</v>
      </c>
      <c r="K5" s="32">
        <v>0</v>
      </c>
      <c r="L5" s="33">
        <v>2560</v>
      </c>
      <c r="M5" s="25">
        <v>1600</v>
      </c>
      <c r="N5" s="25"/>
    </row>
    <row r="6" spans="1:14" x14ac:dyDescent="0.35">
      <c r="A6" s="4" t="s">
        <v>4</v>
      </c>
      <c r="B6" s="5">
        <v>3200</v>
      </c>
      <c r="D6" s="23">
        <v>2</v>
      </c>
      <c r="E6" s="32">
        <v>0</v>
      </c>
      <c r="F6" s="32">
        <v>0</v>
      </c>
      <c r="G6" s="32">
        <v>64</v>
      </c>
      <c r="H6" s="32">
        <v>0</v>
      </c>
      <c r="I6" s="32">
        <v>1520</v>
      </c>
      <c r="J6" s="32">
        <v>0</v>
      </c>
      <c r="K6" s="32">
        <v>0</v>
      </c>
      <c r="L6" s="33">
        <v>2560</v>
      </c>
      <c r="M6" s="25">
        <v>3000</v>
      </c>
      <c r="N6" s="25"/>
    </row>
    <row r="7" spans="1:14" x14ac:dyDescent="0.35">
      <c r="A7" s="4" t="s">
        <v>5</v>
      </c>
      <c r="B7" s="5">
        <v>3800</v>
      </c>
      <c r="D7" s="23">
        <v>3</v>
      </c>
      <c r="E7" s="32">
        <v>0</v>
      </c>
      <c r="F7" s="32">
        <v>0</v>
      </c>
      <c r="G7" s="32">
        <v>64</v>
      </c>
      <c r="H7" s="32">
        <v>0</v>
      </c>
      <c r="I7" s="32">
        <v>880</v>
      </c>
      <c r="J7" s="32">
        <v>0</v>
      </c>
      <c r="K7" s="32">
        <v>0</v>
      </c>
      <c r="L7" s="33">
        <v>2560</v>
      </c>
      <c r="M7" s="25">
        <v>3200</v>
      </c>
      <c r="N7" s="25"/>
    </row>
    <row r="8" spans="1:14" x14ac:dyDescent="0.35">
      <c r="A8" s="4" t="s">
        <v>6</v>
      </c>
      <c r="B8" s="5">
        <v>2200</v>
      </c>
      <c r="D8" s="23">
        <v>4</v>
      </c>
      <c r="E8" s="32">
        <v>0</v>
      </c>
      <c r="F8" s="32">
        <v>0</v>
      </c>
      <c r="G8" s="32">
        <v>64</v>
      </c>
      <c r="H8" s="32">
        <v>0</v>
      </c>
      <c r="I8" s="32">
        <v>0</v>
      </c>
      <c r="J8" s="32">
        <v>220</v>
      </c>
      <c r="K8" s="32">
        <v>140</v>
      </c>
      <c r="L8" s="33">
        <v>2560</v>
      </c>
      <c r="M8" s="25">
        <v>3800</v>
      </c>
      <c r="N8" s="25"/>
    </row>
    <row r="9" spans="1:14" ht="15" thickBot="1" x14ac:dyDescent="0.4">
      <c r="A9" s="6" t="s">
        <v>7</v>
      </c>
      <c r="B9" s="7">
        <v>2200</v>
      </c>
      <c r="D9" s="23">
        <v>5</v>
      </c>
      <c r="E9" s="32">
        <v>0</v>
      </c>
      <c r="F9" s="32">
        <v>0</v>
      </c>
      <c r="G9" s="32">
        <v>64</v>
      </c>
      <c r="H9" s="32">
        <v>0</v>
      </c>
      <c r="I9" s="32">
        <v>140</v>
      </c>
      <c r="J9" s="32">
        <v>0</v>
      </c>
      <c r="K9" s="32">
        <v>0</v>
      </c>
      <c r="L9" s="33">
        <v>2560</v>
      </c>
      <c r="M9" s="25">
        <v>2200</v>
      </c>
      <c r="N9" s="25"/>
    </row>
    <row r="10" spans="1:14" ht="15" thickBot="1" x14ac:dyDescent="0.4">
      <c r="A10" s="8"/>
      <c r="B10" s="8"/>
      <c r="D10" s="26">
        <v>6</v>
      </c>
      <c r="E10" s="32">
        <v>0</v>
      </c>
      <c r="F10" s="32">
        <v>0</v>
      </c>
      <c r="G10" s="32">
        <v>64</v>
      </c>
      <c r="H10" s="32">
        <v>0</v>
      </c>
      <c r="I10" s="32">
        <v>500</v>
      </c>
      <c r="J10" s="32">
        <v>0</v>
      </c>
      <c r="K10" s="32">
        <v>0</v>
      </c>
      <c r="L10" s="33">
        <v>2560</v>
      </c>
      <c r="M10" s="25">
        <v>2200</v>
      </c>
      <c r="N10" s="27"/>
    </row>
    <row r="11" spans="1:14" x14ac:dyDescent="0.35">
      <c r="A11" s="1" t="s">
        <v>8</v>
      </c>
      <c r="B11" s="8"/>
    </row>
    <row r="12" spans="1:14" ht="15" thickBot="1" x14ac:dyDescent="0.4">
      <c r="A12" s="8"/>
      <c r="B12" s="8"/>
      <c r="K12" s="38"/>
    </row>
    <row r="13" spans="1:14" ht="15" thickBot="1" x14ac:dyDescent="0.4">
      <c r="A13" s="2" t="s">
        <v>9</v>
      </c>
      <c r="B13" s="3" t="s">
        <v>10</v>
      </c>
      <c r="K13" s="37"/>
    </row>
    <row r="14" spans="1:14" ht="15" thickBot="1" x14ac:dyDescent="0.4">
      <c r="A14" s="9" t="s">
        <v>11</v>
      </c>
      <c r="B14" s="10">
        <v>10</v>
      </c>
      <c r="D14" s="1" t="s">
        <v>43</v>
      </c>
    </row>
    <row r="15" spans="1:14" ht="18" thickBot="1" x14ac:dyDescent="0.4">
      <c r="A15" s="4" t="s">
        <v>12</v>
      </c>
      <c r="B15" s="11">
        <v>2</v>
      </c>
      <c r="D15" s="15"/>
      <c r="E15" s="16" t="s">
        <v>32</v>
      </c>
      <c r="F15" s="16" t="s">
        <v>33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38</v>
      </c>
      <c r="L15" s="17" t="s">
        <v>39</v>
      </c>
    </row>
    <row r="16" spans="1:14" ht="15" thickBot="1" x14ac:dyDescent="0.4">
      <c r="A16" s="4" t="s">
        <v>13</v>
      </c>
      <c r="B16" s="12">
        <v>5</v>
      </c>
      <c r="D16" s="18" t="s">
        <v>21</v>
      </c>
      <c r="E16" s="19" t="s">
        <v>22</v>
      </c>
      <c r="F16" s="19" t="s">
        <v>23</v>
      </c>
      <c r="G16" s="19" t="s">
        <v>24</v>
      </c>
      <c r="H16" s="19" t="s">
        <v>25</v>
      </c>
      <c r="I16" s="19" t="s">
        <v>26</v>
      </c>
      <c r="J16" s="19" t="s">
        <v>27</v>
      </c>
      <c r="K16" s="19" t="s">
        <v>28</v>
      </c>
      <c r="L16" s="20" t="s">
        <v>29</v>
      </c>
      <c r="M16" s="21" t="s">
        <v>30</v>
      </c>
      <c r="N16" s="22" t="s">
        <v>31</v>
      </c>
    </row>
    <row r="17" spans="1:14" x14ac:dyDescent="0.35">
      <c r="A17" s="4" t="s">
        <v>14</v>
      </c>
      <c r="B17" s="12">
        <v>300</v>
      </c>
      <c r="D17" s="23">
        <v>0</v>
      </c>
      <c r="E17" s="30">
        <v>0</v>
      </c>
      <c r="F17" s="30">
        <v>0</v>
      </c>
      <c r="G17" s="30">
        <v>80</v>
      </c>
      <c r="H17" s="30">
        <v>0</v>
      </c>
      <c r="I17" s="30">
        <v>1000</v>
      </c>
      <c r="J17" s="30">
        <v>0</v>
      </c>
      <c r="K17" s="30">
        <v>0</v>
      </c>
      <c r="L17" s="31"/>
      <c r="M17" s="24"/>
      <c r="N17" s="24"/>
    </row>
    <row r="18" spans="1:14" x14ac:dyDescent="0.35">
      <c r="A18" s="4" t="s">
        <v>15</v>
      </c>
      <c r="B18" s="12">
        <v>500</v>
      </c>
      <c r="D18" s="23">
        <v>1</v>
      </c>
      <c r="E18" s="32">
        <f>E5*$B$17</f>
        <v>0</v>
      </c>
      <c r="F18" s="32">
        <f>F5*$B$18</f>
        <v>8000</v>
      </c>
      <c r="G18" s="32">
        <f>640*G5</f>
        <v>40960</v>
      </c>
      <c r="H18" s="32">
        <f>$B$21*H5</f>
        <v>0</v>
      </c>
      <c r="I18" s="32">
        <f>I5*$B$15</f>
        <v>3920</v>
      </c>
      <c r="J18" s="32">
        <f>J5*$B$16</f>
        <v>0</v>
      </c>
      <c r="K18" s="32">
        <f>$B$22*K5</f>
        <v>0</v>
      </c>
      <c r="L18" s="33">
        <f>$B$14*L5</f>
        <v>25600</v>
      </c>
      <c r="M18" s="25">
        <f>M5</f>
        <v>1600</v>
      </c>
      <c r="N18" s="25"/>
    </row>
    <row r="19" spans="1:14" x14ac:dyDescent="0.35">
      <c r="A19" s="4" t="s">
        <v>16</v>
      </c>
      <c r="B19" s="13">
        <v>4</v>
      </c>
      <c r="D19" s="23">
        <v>2</v>
      </c>
      <c r="E19" s="32">
        <f t="shared" ref="E19:E23" si="0">E6*$B$17</f>
        <v>0</v>
      </c>
      <c r="F19" s="32">
        <f t="shared" ref="F19:F23" si="1">F6*$B$18</f>
        <v>0</v>
      </c>
      <c r="G19" s="32">
        <f t="shared" ref="G19:G23" si="2">640*G6</f>
        <v>40960</v>
      </c>
      <c r="H19" s="32">
        <f t="shared" ref="H19:H23" si="3">$B$21*H6</f>
        <v>0</v>
      </c>
      <c r="I19" s="32">
        <f t="shared" ref="I19:I23" si="4">I6*$B$15</f>
        <v>3040</v>
      </c>
      <c r="J19" s="32">
        <f t="shared" ref="J19:J23" si="5">J6*$B$16</f>
        <v>0</v>
      </c>
      <c r="K19" s="32">
        <f t="shared" ref="K19:K23" si="6">$B$22*K6</f>
        <v>0</v>
      </c>
      <c r="L19" s="33">
        <f t="shared" ref="L19:L23" si="7">$B$14*L6</f>
        <v>25600</v>
      </c>
      <c r="M19" s="25">
        <f t="shared" ref="M19:M23" si="8">M6</f>
        <v>3000</v>
      </c>
      <c r="N19" s="25"/>
    </row>
    <row r="20" spans="1:14" x14ac:dyDescent="0.35">
      <c r="A20" s="4" t="s">
        <v>17</v>
      </c>
      <c r="B20" s="12">
        <v>4</v>
      </c>
      <c r="D20" s="23">
        <v>3</v>
      </c>
      <c r="E20" s="32">
        <f t="shared" si="0"/>
        <v>0</v>
      </c>
      <c r="F20" s="32">
        <f t="shared" si="1"/>
        <v>0</v>
      </c>
      <c r="G20" s="32">
        <f t="shared" si="2"/>
        <v>40960</v>
      </c>
      <c r="H20" s="32">
        <f t="shared" si="3"/>
        <v>0</v>
      </c>
      <c r="I20" s="32">
        <f t="shared" si="4"/>
        <v>1760</v>
      </c>
      <c r="J20" s="32">
        <f t="shared" si="5"/>
        <v>0</v>
      </c>
      <c r="K20" s="32">
        <f t="shared" si="6"/>
        <v>0</v>
      </c>
      <c r="L20" s="33">
        <f t="shared" si="7"/>
        <v>25600</v>
      </c>
      <c r="M20" s="25">
        <f t="shared" si="8"/>
        <v>3200</v>
      </c>
      <c r="N20" s="25"/>
    </row>
    <row r="21" spans="1:14" x14ac:dyDescent="0.35">
      <c r="A21" s="4" t="s">
        <v>18</v>
      </c>
      <c r="B21" s="11">
        <v>6</v>
      </c>
      <c r="D21" s="23">
        <v>4</v>
      </c>
      <c r="E21" s="32">
        <f t="shared" si="0"/>
        <v>0</v>
      </c>
      <c r="F21" s="32">
        <f t="shared" si="1"/>
        <v>0</v>
      </c>
      <c r="G21" s="32">
        <f t="shared" si="2"/>
        <v>40960</v>
      </c>
      <c r="H21" s="32">
        <f t="shared" si="3"/>
        <v>0</v>
      </c>
      <c r="I21" s="32">
        <f t="shared" si="4"/>
        <v>0</v>
      </c>
      <c r="J21" s="32">
        <f t="shared" si="5"/>
        <v>1100</v>
      </c>
      <c r="K21" s="32">
        <f t="shared" si="6"/>
        <v>4200</v>
      </c>
      <c r="L21" s="33">
        <f t="shared" si="7"/>
        <v>25600</v>
      </c>
      <c r="M21" s="25">
        <f t="shared" si="8"/>
        <v>3800</v>
      </c>
      <c r="N21" s="25"/>
    </row>
    <row r="22" spans="1:14" ht="15" thickBot="1" x14ac:dyDescent="0.4">
      <c r="A22" s="6" t="s">
        <v>19</v>
      </c>
      <c r="B22" s="14">
        <v>30</v>
      </c>
      <c r="D22" s="23">
        <v>5</v>
      </c>
      <c r="E22" s="32">
        <f t="shared" si="0"/>
        <v>0</v>
      </c>
      <c r="F22" s="32">
        <f t="shared" si="1"/>
        <v>0</v>
      </c>
      <c r="G22" s="32">
        <f t="shared" si="2"/>
        <v>40960</v>
      </c>
      <c r="H22" s="32">
        <f t="shared" si="3"/>
        <v>0</v>
      </c>
      <c r="I22" s="32">
        <f t="shared" si="4"/>
        <v>280</v>
      </c>
      <c r="J22" s="32">
        <f t="shared" si="5"/>
        <v>0</v>
      </c>
      <c r="K22" s="32">
        <f t="shared" si="6"/>
        <v>0</v>
      </c>
      <c r="L22" s="33">
        <f t="shared" si="7"/>
        <v>25600</v>
      </c>
      <c r="M22" s="25">
        <f t="shared" si="8"/>
        <v>2200</v>
      </c>
      <c r="N22" s="25"/>
    </row>
    <row r="23" spans="1:14" ht="15" thickBot="1" x14ac:dyDescent="0.4">
      <c r="D23" s="26">
        <v>6</v>
      </c>
      <c r="E23" s="32">
        <f t="shared" si="0"/>
        <v>0</v>
      </c>
      <c r="F23" s="32">
        <f t="shared" si="1"/>
        <v>0</v>
      </c>
      <c r="G23" s="32">
        <f t="shared" si="2"/>
        <v>40960</v>
      </c>
      <c r="H23" s="32">
        <f t="shared" si="3"/>
        <v>0</v>
      </c>
      <c r="I23" s="32">
        <f t="shared" si="4"/>
        <v>1000</v>
      </c>
      <c r="J23" s="32">
        <f t="shared" si="5"/>
        <v>0</v>
      </c>
      <c r="K23" s="32">
        <f t="shared" si="6"/>
        <v>0</v>
      </c>
      <c r="L23" s="33">
        <f t="shared" si="7"/>
        <v>25600</v>
      </c>
      <c r="M23" s="25">
        <f t="shared" si="8"/>
        <v>2200</v>
      </c>
      <c r="N23" s="27"/>
    </row>
    <row r="24" spans="1:14" x14ac:dyDescent="0.35">
      <c r="D24" s="28"/>
      <c r="E24" s="28"/>
      <c r="F24" s="28"/>
      <c r="G24" s="28"/>
    </row>
    <row r="25" spans="1:14" x14ac:dyDescent="0.35">
      <c r="D25" s="28"/>
      <c r="E25" s="28"/>
      <c r="F25" s="28"/>
      <c r="G25" s="28"/>
    </row>
    <row r="26" spans="1:14" x14ac:dyDescent="0.35">
      <c r="D26" s="28"/>
      <c r="E26" s="28"/>
      <c r="F26" s="28"/>
      <c r="G26" s="28"/>
    </row>
    <row r="27" spans="1:14" x14ac:dyDescent="0.35">
      <c r="D27" s="34" t="s">
        <v>44</v>
      </c>
      <c r="E27" s="35">
        <f>SUM(E18:L23)</f>
        <v>422660</v>
      </c>
      <c r="F27" s="28"/>
      <c r="G27" s="28"/>
    </row>
    <row r="29" spans="1:14" x14ac:dyDescent="0.35">
      <c r="C29" s="49" t="s">
        <v>40</v>
      </c>
      <c r="D29" s="49"/>
      <c r="E29" s="49"/>
      <c r="F29" s="49"/>
      <c r="G29" s="49"/>
      <c r="H29" s="49"/>
    </row>
    <row r="30" spans="1:14" x14ac:dyDescent="0.35">
      <c r="C30" s="28"/>
      <c r="D30" s="28" t="s">
        <v>41</v>
      </c>
      <c r="E30" s="28" t="s">
        <v>26</v>
      </c>
      <c r="F30" s="28"/>
      <c r="G30" s="28" t="s">
        <v>42</v>
      </c>
      <c r="H30" s="28" t="s">
        <v>25</v>
      </c>
    </row>
    <row r="31" spans="1:14" x14ac:dyDescent="0.35">
      <c r="C31" s="28">
        <v>1</v>
      </c>
      <c r="D31" s="29">
        <f>G4+E5-F5-G5</f>
        <v>0</v>
      </c>
      <c r="E31" s="36">
        <f>I4+L5+K5-J4-M5+J5-I5</f>
        <v>0</v>
      </c>
      <c r="F31" s="36"/>
      <c r="G31" s="28">
        <f>(40*G5)+(H5/4)-L5</f>
        <v>0</v>
      </c>
      <c r="H31" s="28">
        <f>(10*G5)-H5</f>
        <v>640</v>
      </c>
    </row>
    <row r="32" spans="1:14" x14ac:dyDescent="0.35">
      <c r="C32" s="28">
        <v>2</v>
      </c>
      <c r="D32" s="29">
        <f t="shared" ref="D32:D36" si="9">G5+E6-F6-G6</f>
        <v>0</v>
      </c>
      <c r="E32" s="36">
        <f t="shared" ref="E32:E36" si="10">I5+L6+K6-J5-M6+J6-I6</f>
        <v>0</v>
      </c>
      <c r="F32" s="36"/>
      <c r="G32" s="28">
        <f t="shared" ref="G32:G36" si="11">(40*G6)+(H6/4)-L6</f>
        <v>0</v>
      </c>
      <c r="H32" s="28">
        <f t="shared" ref="H32:H36" si="12">(10*G6)-H6</f>
        <v>640</v>
      </c>
    </row>
    <row r="33" spans="3:8" x14ac:dyDescent="0.35">
      <c r="C33" s="28">
        <v>3</v>
      </c>
      <c r="D33" s="29">
        <f t="shared" si="9"/>
        <v>0</v>
      </c>
      <c r="E33" s="36">
        <f t="shared" si="10"/>
        <v>0</v>
      </c>
      <c r="F33" s="36"/>
      <c r="G33" s="28">
        <f t="shared" si="11"/>
        <v>0</v>
      </c>
      <c r="H33" s="28">
        <f t="shared" si="12"/>
        <v>640</v>
      </c>
    </row>
    <row r="34" spans="3:8" x14ac:dyDescent="0.35">
      <c r="C34" s="28">
        <v>4</v>
      </c>
      <c r="D34" s="29">
        <f t="shared" si="9"/>
        <v>0</v>
      </c>
      <c r="E34" s="36">
        <f t="shared" si="10"/>
        <v>0</v>
      </c>
      <c r="F34" s="36"/>
      <c r="G34" s="28">
        <f t="shared" si="11"/>
        <v>0</v>
      </c>
      <c r="H34" s="28">
        <f t="shared" si="12"/>
        <v>640</v>
      </c>
    </row>
    <row r="35" spans="3:8" x14ac:dyDescent="0.35">
      <c r="C35" s="28">
        <v>5</v>
      </c>
      <c r="D35" s="29">
        <f t="shared" si="9"/>
        <v>0</v>
      </c>
      <c r="E35" s="36">
        <f t="shared" si="10"/>
        <v>0</v>
      </c>
      <c r="F35" s="36"/>
      <c r="G35" s="28">
        <f t="shared" si="11"/>
        <v>0</v>
      </c>
      <c r="H35" s="28">
        <f t="shared" si="12"/>
        <v>640</v>
      </c>
    </row>
    <row r="36" spans="3:8" x14ac:dyDescent="0.35">
      <c r="C36" s="28">
        <v>6</v>
      </c>
      <c r="D36" s="29">
        <f t="shared" si="9"/>
        <v>0</v>
      </c>
      <c r="E36" s="36">
        <f t="shared" si="10"/>
        <v>0</v>
      </c>
      <c r="F36" s="36"/>
      <c r="G36" s="28">
        <f t="shared" si="11"/>
        <v>0</v>
      </c>
      <c r="H36" s="28">
        <f t="shared" si="12"/>
        <v>640</v>
      </c>
    </row>
  </sheetData>
  <mergeCells count="1">
    <mergeCell ref="C29:H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abSelected="1" topLeftCell="A18" zoomScaleNormal="100" workbookViewId="0">
      <selection activeCell="K36" sqref="K36"/>
    </sheetView>
  </sheetViews>
  <sheetFormatPr defaultRowHeight="14.5" x14ac:dyDescent="0.35"/>
  <cols>
    <col min="1" max="1" width="33.08984375" bestFit="1" customWidth="1"/>
    <col min="2" max="2" width="16" bestFit="1" customWidth="1"/>
    <col min="4" max="4" width="20.08984375" customWidth="1"/>
    <col min="5" max="5" width="9.6328125" bestFit="1" customWidth="1"/>
    <col min="6" max="6" width="9.54296875" bestFit="1" customWidth="1"/>
    <col min="7" max="7" width="11.81640625" bestFit="1" customWidth="1"/>
    <col min="8" max="8" width="9.1796875" bestFit="1" customWidth="1"/>
    <col min="9" max="9" width="9.453125" bestFit="1" customWidth="1"/>
    <col min="10" max="10" width="9" bestFit="1" customWidth="1"/>
    <col min="11" max="11" width="11.7265625" bestFit="1" customWidth="1"/>
    <col min="12" max="12" width="24.26953125" bestFit="1" customWidth="1"/>
    <col min="2000" max="2000" width="2.453125" customWidth="1"/>
  </cols>
  <sheetData>
    <row r="1" spans="1:14" ht="15" thickBot="1" x14ac:dyDescent="0.4">
      <c r="A1" s="1" t="s">
        <v>0</v>
      </c>
      <c r="D1" s="1" t="s">
        <v>20</v>
      </c>
    </row>
    <row r="2" spans="1:14" ht="18" thickBot="1" x14ac:dyDescent="0.4">
      <c r="D2" s="15"/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7" t="s">
        <v>39</v>
      </c>
    </row>
    <row r="3" spans="1:14" ht="15" thickBot="1" x14ac:dyDescent="0.4">
      <c r="A3" s="2" t="s">
        <v>1</v>
      </c>
      <c r="B3" s="3" t="s">
        <v>0</v>
      </c>
      <c r="D3" s="18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20" t="s">
        <v>29</v>
      </c>
      <c r="M3" s="21" t="s">
        <v>30</v>
      </c>
      <c r="N3" s="22" t="s">
        <v>31</v>
      </c>
    </row>
    <row r="4" spans="1:14" x14ac:dyDescent="0.35">
      <c r="A4" s="4" t="s">
        <v>2</v>
      </c>
      <c r="B4" s="5">
        <v>1600</v>
      </c>
      <c r="D4" s="23">
        <v>0</v>
      </c>
      <c r="E4" s="30">
        <v>0</v>
      </c>
      <c r="F4" s="30">
        <v>0</v>
      </c>
      <c r="G4" s="30">
        <v>80</v>
      </c>
      <c r="H4" s="30">
        <v>0</v>
      </c>
      <c r="I4" s="30">
        <v>1000</v>
      </c>
      <c r="J4" s="30">
        <v>0</v>
      </c>
      <c r="K4" s="30">
        <v>0</v>
      </c>
      <c r="L4" s="31"/>
      <c r="M4" s="24"/>
      <c r="N4" s="24"/>
    </row>
    <row r="5" spans="1:14" x14ac:dyDescent="0.35">
      <c r="A5" s="4" t="s">
        <v>3</v>
      </c>
      <c r="B5" s="5">
        <v>3000</v>
      </c>
      <c r="D5" s="23">
        <v>1</v>
      </c>
      <c r="E5" s="32">
        <v>0</v>
      </c>
      <c r="F5" s="32">
        <v>16</v>
      </c>
      <c r="G5" s="32">
        <v>64</v>
      </c>
      <c r="H5" s="32">
        <v>0</v>
      </c>
      <c r="I5" s="32">
        <v>1960</v>
      </c>
      <c r="J5" s="32">
        <v>0</v>
      </c>
      <c r="K5" s="32">
        <v>0</v>
      </c>
      <c r="L5" s="33">
        <v>2560</v>
      </c>
      <c r="M5" s="25">
        <v>1600</v>
      </c>
      <c r="N5" s="25"/>
    </row>
    <row r="6" spans="1:14" x14ac:dyDescent="0.35">
      <c r="A6" s="4" t="s">
        <v>4</v>
      </c>
      <c r="B6" s="5">
        <v>3200</v>
      </c>
      <c r="D6" s="23">
        <v>2</v>
      </c>
      <c r="E6" s="32">
        <v>0</v>
      </c>
      <c r="F6" s="32">
        <v>0</v>
      </c>
      <c r="G6" s="32">
        <v>64</v>
      </c>
      <c r="H6" s="32">
        <v>0</v>
      </c>
      <c r="I6" s="32">
        <v>1520</v>
      </c>
      <c r="J6" s="32">
        <v>0</v>
      </c>
      <c r="K6" s="32">
        <v>0</v>
      </c>
      <c r="L6" s="33">
        <v>2560</v>
      </c>
      <c r="M6" s="25">
        <v>3000</v>
      </c>
      <c r="N6" s="25"/>
    </row>
    <row r="7" spans="1:14" x14ac:dyDescent="0.35">
      <c r="A7" s="4" t="s">
        <v>5</v>
      </c>
      <c r="B7" s="5">
        <v>3800</v>
      </c>
      <c r="D7" s="23">
        <v>3</v>
      </c>
      <c r="E7" s="32">
        <v>0</v>
      </c>
      <c r="F7" s="32">
        <v>0</v>
      </c>
      <c r="G7" s="32">
        <v>64</v>
      </c>
      <c r="H7" s="32">
        <v>0</v>
      </c>
      <c r="I7" s="32">
        <v>880</v>
      </c>
      <c r="J7" s="32">
        <v>0</v>
      </c>
      <c r="K7" s="32">
        <v>0</v>
      </c>
      <c r="L7" s="33">
        <v>2560</v>
      </c>
      <c r="M7" s="25">
        <v>3200</v>
      </c>
      <c r="N7" s="25"/>
    </row>
    <row r="8" spans="1:14" x14ac:dyDescent="0.35">
      <c r="A8" s="4" t="s">
        <v>6</v>
      </c>
      <c r="B8" s="5">
        <v>2200</v>
      </c>
      <c r="D8" s="23">
        <v>4</v>
      </c>
      <c r="E8" s="32">
        <v>0</v>
      </c>
      <c r="F8" s="32">
        <v>0</v>
      </c>
      <c r="G8" s="32">
        <v>64</v>
      </c>
      <c r="H8" s="32">
        <v>0</v>
      </c>
      <c r="I8" s="32">
        <v>0</v>
      </c>
      <c r="J8" s="32">
        <v>220</v>
      </c>
      <c r="K8" s="32">
        <v>140</v>
      </c>
      <c r="L8" s="33">
        <v>2560</v>
      </c>
      <c r="M8" s="25">
        <v>3800</v>
      </c>
      <c r="N8" s="25"/>
    </row>
    <row r="9" spans="1:14" ht="15" thickBot="1" x14ac:dyDescent="0.4">
      <c r="A9" s="6" t="s">
        <v>7</v>
      </c>
      <c r="B9" s="7">
        <v>2200</v>
      </c>
      <c r="D9" s="23">
        <v>5</v>
      </c>
      <c r="E9" s="32">
        <v>0</v>
      </c>
      <c r="F9" s="32">
        <v>0</v>
      </c>
      <c r="G9" s="32">
        <v>64</v>
      </c>
      <c r="H9" s="32">
        <v>0</v>
      </c>
      <c r="I9" s="32">
        <v>140</v>
      </c>
      <c r="J9" s="32">
        <v>0</v>
      </c>
      <c r="K9" s="32">
        <v>0</v>
      </c>
      <c r="L9" s="33">
        <v>2560</v>
      </c>
      <c r="M9" s="25">
        <v>2200</v>
      </c>
      <c r="N9" s="25"/>
    </row>
    <row r="10" spans="1:14" ht="15" thickBot="1" x14ac:dyDescent="0.4">
      <c r="A10" s="8"/>
      <c r="B10" s="8"/>
      <c r="D10" s="26">
        <v>6</v>
      </c>
      <c r="E10" s="32">
        <v>0</v>
      </c>
      <c r="F10" s="32">
        <v>0</v>
      </c>
      <c r="G10" s="32">
        <v>64</v>
      </c>
      <c r="H10" s="32">
        <v>0</v>
      </c>
      <c r="I10" s="32">
        <v>500</v>
      </c>
      <c r="J10" s="32">
        <v>0</v>
      </c>
      <c r="K10" s="32">
        <v>0</v>
      </c>
      <c r="L10" s="33">
        <v>2560</v>
      </c>
      <c r="M10" s="25">
        <v>2200</v>
      </c>
      <c r="N10" s="27"/>
    </row>
    <row r="11" spans="1:14" x14ac:dyDescent="0.35">
      <c r="A11" s="1" t="s">
        <v>8</v>
      </c>
      <c r="B11" s="8"/>
      <c r="I11" s="39"/>
    </row>
    <row r="12" spans="1:14" ht="15" thickBot="1" x14ac:dyDescent="0.4">
      <c r="A12" s="8"/>
      <c r="B12" s="8"/>
      <c r="I12" s="39"/>
      <c r="K12" s="38"/>
    </row>
    <row r="13" spans="1:14" ht="15" thickBot="1" x14ac:dyDescent="0.4">
      <c r="A13" s="2" t="s">
        <v>9</v>
      </c>
      <c r="B13" s="3" t="s">
        <v>10</v>
      </c>
      <c r="I13" s="37"/>
      <c r="J13" s="37"/>
      <c r="K13" s="37"/>
    </row>
    <row r="14" spans="1:14" ht="15" thickBot="1" x14ac:dyDescent="0.4">
      <c r="A14" s="9" t="s">
        <v>11</v>
      </c>
      <c r="B14" s="10">
        <v>10</v>
      </c>
      <c r="D14" s="1" t="s">
        <v>43</v>
      </c>
    </row>
    <row r="15" spans="1:14" ht="18" thickBot="1" x14ac:dyDescent="0.4">
      <c r="A15" s="4" t="s">
        <v>12</v>
      </c>
      <c r="B15" s="11">
        <v>2</v>
      </c>
      <c r="D15" s="15"/>
      <c r="E15" s="16" t="s">
        <v>32</v>
      </c>
      <c r="F15" s="16" t="s">
        <v>33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38</v>
      </c>
      <c r="L15" s="17" t="s">
        <v>39</v>
      </c>
    </row>
    <row r="16" spans="1:14" ht="15" thickBot="1" x14ac:dyDescent="0.4">
      <c r="A16" s="4" t="s">
        <v>13</v>
      </c>
      <c r="B16" s="12">
        <v>5</v>
      </c>
      <c r="D16" s="18" t="s">
        <v>21</v>
      </c>
      <c r="E16" s="19" t="s">
        <v>22</v>
      </c>
      <c r="F16" s="19" t="s">
        <v>23</v>
      </c>
      <c r="G16" s="19" t="s">
        <v>24</v>
      </c>
      <c r="H16" s="19" t="s">
        <v>25</v>
      </c>
      <c r="I16" s="19" t="s">
        <v>26</v>
      </c>
      <c r="J16" s="19" t="s">
        <v>27</v>
      </c>
      <c r="K16" s="19" t="s">
        <v>28</v>
      </c>
      <c r="L16" s="20" t="s">
        <v>29</v>
      </c>
      <c r="M16" s="21" t="s">
        <v>30</v>
      </c>
      <c r="N16" s="22" t="s">
        <v>31</v>
      </c>
    </row>
    <row r="17" spans="1:15" x14ac:dyDescent="0.35">
      <c r="A17" s="4" t="s">
        <v>14</v>
      </c>
      <c r="B17" s="12">
        <v>300</v>
      </c>
      <c r="D17" s="23">
        <v>0</v>
      </c>
      <c r="E17" s="30">
        <v>0</v>
      </c>
      <c r="F17" s="30">
        <v>0</v>
      </c>
      <c r="G17" s="30">
        <v>80</v>
      </c>
      <c r="H17" s="30">
        <v>0</v>
      </c>
      <c r="I17" s="30">
        <v>1000</v>
      </c>
      <c r="J17" s="30">
        <v>0</v>
      </c>
      <c r="K17" s="30">
        <v>0</v>
      </c>
      <c r="L17" s="31"/>
      <c r="M17" s="24"/>
      <c r="N17" s="24"/>
    </row>
    <row r="18" spans="1:15" x14ac:dyDescent="0.35">
      <c r="A18" s="4" t="s">
        <v>15</v>
      </c>
      <c r="B18" s="12">
        <v>500</v>
      </c>
      <c r="D18" s="23">
        <v>1</v>
      </c>
      <c r="E18" s="32">
        <f>E5*$B$17</f>
        <v>0</v>
      </c>
      <c r="F18" s="32">
        <f>F5*$B$18</f>
        <v>8000</v>
      </c>
      <c r="G18" s="32">
        <f>640*G5</f>
        <v>40960</v>
      </c>
      <c r="H18" s="32">
        <f>$B$21*H5</f>
        <v>0</v>
      </c>
      <c r="I18" s="32">
        <f>I5*$B$15</f>
        <v>3920</v>
      </c>
      <c r="J18" s="32">
        <f>J5*$B$16</f>
        <v>0</v>
      </c>
      <c r="K18" s="32">
        <f>$B$22*K5</f>
        <v>0</v>
      </c>
      <c r="L18" s="33">
        <f>$B$14*L5</f>
        <v>25600</v>
      </c>
      <c r="M18" s="25">
        <f>M5</f>
        <v>1600</v>
      </c>
      <c r="N18" s="25"/>
      <c r="O18" s="39">
        <f>SUM(E18:L18)</f>
        <v>78480</v>
      </c>
    </row>
    <row r="19" spans="1:15" x14ac:dyDescent="0.35">
      <c r="A19" s="4" t="s">
        <v>16</v>
      </c>
      <c r="B19" s="13">
        <v>4</v>
      </c>
      <c r="D19" s="23">
        <v>2</v>
      </c>
      <c r="E19" s="32">
        <f t="shared" ref="E19:E23" si="0">E6*$B$17</f>
        <v>0</v>
      </c>
      <c r="F19" s="32">
        <f t="shared" ref="F19:F23" si="1">F6*$B$18</f>
        <v>0</v>
      </c>
      <c r="G19" s="32">
        <f t="shared" ref="G19:G23" si="2">640*G6</f>
        <v>40960</v>
      </c>
      <c r="H19" s="32">
        <f t="shared" ref="H19:H23" si="3">$B$21*H6</f>
        <v>0</v>
      </c>
      <c r="I19" s="32">
        <f t="shared" ref="I19:I23" si="4">I6*$B$15</f>
        <v>3040</v>
      </c>
      <c r="J19" s="32">
        <f t="shared" ref="J19:J23" si="5">J6*$B$16</f>
        <v>0</v>
      </c>
      <c r="K19" s="32">
        <f t="shared" ref="K19:K23" si="6">$B$22*K6</f>
        <v>0</v>
      </c>
      <c r="L19" s="33">
        <f t="shared" ref="L19:L23" si="7">$B$14*L6</f>
        <v>25600</v>
      </c>
      <c r="M19" s="25">
        <f t="shared" ref="M19:M23" si="8">M6</f>
        <v>3000</v>
      </c>
      <c r="N19" s="25"/>
    </row>
    <row r="20" spans="1:15" x14ac:dyDescent="0.35">
      <c r="A20" s="4" t="s">
        <v>17</v>
      </c>
      <c r="B20" s="12">
        <v>4</v>
      </c>
      <c r="D20" s="23">
        <v>3</v>
      </c>
      <c r="E20" s="32">
        <f t="shared" si="0"/>
        <v>0</v>
      </c>
      <c r="F20" s="32">
        <f t="shared" si="1"/>
        <v>0</v>
      </c>
      <c r="G20" s="32">
        <f t="shared" si="2"/>
        <v>40960</v>
      </c>
      <c r="H20" s="32">
        <f t="shared" si="3"/>
        <v>0</v>
      </c>
      <c r="I20" s="32">
        <f t="shared" si="4"/>
        <v>1760</v>
      </c>
      <c r="J20" s="32">
        <f t="shared" si="5"/>
        <v>0</v>
      </c>
      <c r="K20" s="32">
        <f t="shared" si="6"/>
        <v>0</v>
      </c>
      <c r="L20" s="33">
        <f t="shared" si="7"/>
        <v>25600</v>
      </c>
      <c r="M20" s="25">
        <f t="shared" si="8"/>
        <v>3200</v>
      </c>
      <c r="N20" s="25"/>
    </row>
    <row r="21" spans="1:15" x14ac:dyDescent="0.35">
      <c r="A21" s="4" t="s">
        <v>18</v>
      </c>
      <c r="B21" s="11">
        <v>6</v>
      </c>
      <c r="D21" s="23">
        <v>4</v>
      </c>
      <c r="E21" s="32">
        <f t="shared" si="0"/>
        <v>0</v>
      </c>
      <c r="F21" s="32">
        <f t="shared" si="1"/>
        <v>0</v>
      </c>
      <c r="G21" s="32">
        <f t="shared" si="2"/>
        <v>40960</v>
      </c>
      <c r="H21" s="32">
        <f t="shared" si="3"/>
        <v>0</v>
      </c>
      <c r="I21" s="32">
        <f t="shared" si="4"/>
        <v>0</v>
      </c>
      <c r="J21" s="32">
        <f t="shared" si="5"/>
        <v>1100</v>
      </c>
      <c r="K21" s="32">
        <f t="shared" si="6"/>
        <v>4200</v>
      </c>
      <c r="L21" s="33">
        <f t="shared" si="7"/>
        <v>25600</v>
      </c>
      <c r="M21" s="25">
        <f t="shared" si="8"/>
        <v>3800</v>
      </c>
      <c r="N21" s="25"/>
    </row>
    <row r="22" spans="1:15" ht="15" thickBot="1" x14ac:dyDescent="0.4">
      <c r="A22" s="6" t="s">
        <v>19</v>
      </c>
      <c r="B22" s="14">
        <v>30</v>
      </c>
      <c r="D22" s="23">
        <v>5</v>
      </c>
      <c r="E22" s="32">
        <f t="shared" si="0"/>
        <v>0</v>
      </c>
      <c r="F22" s="32">
        <f t="shared" si="1"/>
        <v>0</v>
      </c>
      <c r="G22" s="32">
        <f t="shared" si="2"/>
        <v>40960</v>
      </c>
      <c r="H22" s="32">
        <f t="shared" si="3"/>
        <v>0</v>
      </c>
      <c r="I22" s="32">
        <f t="shared" si="4"/>
        <v>280</v>
      </c>
      <c r="J22" s="32">
        <f t="shared" si="5"/>
        <v>0</v>
      </c>
      <c r="K22" s="32">
        <f t="shared" si="6"/>
        <v>0</v>
      </c>
      <c r="L22" s="33">
        <f t="shared" si="7"/>
        <v>25600</v>
      </c>
      <c r="M22" s="25">
        <f t="shared" si="8"/>
        <v>2200</v>
      </c>
      <c r="N22" s="25"/>
    </row>
    <row r="23" spans="1:15" ht="15" thickBot="1" x14ac:dyDescent="0.4">
      <c r="D23" s="26">
        <v>6</v>
      </c>
      <c r="E23" s="32">
        <f t="shared" si="0"/>
        <v>0</v>
      </c>
      <c r="F23" s="32">
        <f t="shared" si="1"/>
        <v>0</v>
      </c>
      <c r="G23" s="32">
        <f t="shared" si="2"/>
        <v>40960</v>
      </c>
      <c r="H23" s="32">
        <f t="shared" si="3"/>
        <v>0</v>
      </c>
      <c r="I23" s="32">
        <f t="shared" si="4"/>
        <v>1000</v>
      </c>
      <c r="J23" s="32">
        <f t="shared" si="5"/>
        <v>0</v>
      </c>
      <c r="K23" s="32">
        <f t="shared" si="6"/>
        <v>0</v>
      </c>
      <c r="L23" s="33">
        <f t="shared" si="7"/>
        <v>25600</v>
      </c>
      <c r="M23" s="25">
        <f t="shared" si="8"/>
        <v>2200</v>
      </c>
      <c r="N23" s="27"/>
    </row>
    <row r="24" spans="1:15" x14ac:dyDescent="0.35">
      <c r="D24" s="28"/>
      <c r="E24" s="28"/>
      <c r="F24" s="28"/>
      <c r="G24" s="28"/>
    </row>
    <row r="25" spans="1:15" x14ac:dyDescent="0.35">
      <c r="D25" s="28"/>
      <c r="E25" s="28"/>
      <c r="F25" s="28"/>
      <c r="G25" s="28"/>
    </row>
    <row r="26" spans="1:15" x14ac:dyDescent="0.35">
      <c r="D26" s="28"/>
      <c r="E26" s="28"/>
      <c r="F26" s="28"/>
      <c r="G26" s="28"/>
    </row>
    <row r="27" spans="1:15" x14ac:dyDescent="0.35">
      <c r="D27" s="34" t="s">
        <v>44</v>
      </c>
      <c r="E27" s="35">
        <f>SUM(E18:L23)</f>
        <v>422660</v>
      </c>
      <c r="F27" s="28"/>
      <c r="G27" s="28"/>
      <c r="J27" s="48">
        <v>0</v>
      </c>
      <c r="K27" s="48" t="s">
        <v>46</v>
      </c>
      <c r="L27" t="s">
        <v>47</v>
      </c>
    </row>
    <row r="28" spans="1:15" x14ac:dyDescent="0.35">
      <c r="J28" s="48">
        <v>0</v>
      </c>
      <c r="K28" s="48" t="s">
        <v>46</v>
      </c>
      <c r="L28" t="s">
        <v>48</v>
      </c>
    </row>
    <row r="29" spans="1:15" x14ac:dyDescent="0.35">
      <c r="C29" s="49" t="s">
        <v>40</v>
      </c>
      <c r="D29" s="49"/>
      <c r="E29" s="49"/>
      <c r="F29" s="49"/>
      <c r="G29" s="49"/>
      <c r="H29" s="49"/>
      <c r="J29" s="48"/>
      <c r="K29" s="48"/>
    </row>
    <row r="30" spans="1:15" x14ac:dyDescent="0.35">
      <c r="C30" s="28"/>
      <c r="D30" s="28" t="s">
        <v>41</v>
      </c>
      <c r="E30" s="28" t="s">
        <v>26</v>
      </c>
      <c r="F30" s="28"/>
      <c r="G30" s="28" t="s">
        <v>42</v>
      </c>
      <c r="H30" s="28" t="s">
        <v>25</v>
      </c>
      <c r="J30" s="40">
        <v>0</v>
      </c>
      <c r="K30" s="40" t="s">
        <v>45</v>
      </c>
      <c r="L30" s="40" t="s">
        <v>49</v>
      </c>
    </row>
    <row r="31" spans="1:15" x14ac:dyDescent="0.35">
      <c r="C31" s="28">
        <v>1</v>
      </c>
      <c r="D31" s="29">
        <f>G4+E5-F5-G5</f>
        <v>0</v>
      </c>
      <c r="E31" s="36">
        <f>I4+L5+K5-J4-M5-I5+J5</f>
        <v>0</v>
      </c>
      <c r="F31" s="36"/>
      <c r="G31" s="28">
        <f>(40*G5)+(H5/4)-L5</f>
        <v>0</v>
      </c>
      <c r="H31" s="28">
        <f>(10*G5)-H5</f>
        <v>640</v>
      </c>
    </row>
    <row r="32" spans="1:15" x14ac:dyDescent="0.35">
      <c r="C32" s="28">
        <v>2</v>
      </c>
      <c r="D32" s="29">
        <f t="shared" ref="D32:D36" si="9">G5+E6-F6-G6</f>
        <v>0</v>
      </c>
      <c r="E32" s="36">
        <f t="shared" ref="E32:E36" si="10">I5+L6+K6-J5-M6-I6+J6</f>
        <v>0</v>
      </c>
      <c r="F32" s="36"/>
      <c r="G32" s="28">
        <f t="shared" ref="G32:G36" si="11">(40*G6)+(H6/4)-L6</f>
        <v>0</v>
      </c>
      <c r="H32" s="28">
        <f t="shared" ref="H32:H36" si="12">(10*G6)-H6</f>
        <v>640</v>
      </c>
    </row>
    <row r="33" spans="3:8" x14ac:dyDescent="0.35">
      <c r="C33" s="28">
        <v>3</v>
      </c>
      <c r="D33" s="29">
        <f t="shared" si="9"/>
        <v>0</v>
      </c>
      <c r="E33" s="36">
        <f t="shared" si="10"/>
        <v>0</v>
      </c>
      <c r="F33" s="36"/>
      <c r="G33" s="28">
        <f t="shared" si="11"/>
        <v>0</v>
      </c>
      <c r="H33" s="28">
        <f t="shared" si="12"/>
        <v>640</v>
      </c>
    </row>
    <row r="34" spans="3:8" x14ac:dyDescent="0.35">
      <c r="C34" s="28">
        <v>4</v>
      </c>
      <c r="D34" s="29">
        <f t="shared" si="9"/>
        <v>0</v>
      </c>
      <c r="E34" s="36">
        <f t="shared" si="10"/>
        <v>0</v>
      </c>
      <c r="F34" s="36"/>
      <c r="G34" s="28">
        <f t="shared" si="11"/>
        <v>0</v>
      </c>
      <c r="H34" s="28">
        <f t="shared" si="12"/>
        <v>640</v>
      </c>
    </row>
    <row r="35" spans="3:8" x14ac:dyDescent="0.35">
      <c r="C35" s="28">
        <v>5</v>
      </c>
      <c r="D35" s="29">
        <f t="shared" si="9"/>
        <v>0</v>
      </c>
      <c r="E35" s="36">
        <f t="shared" si="10"/>
        <v>0</v>
      </c>
      <c r="F35" s="36"/>
      <c r="G35" s="28">
        <f t="shared" si="11"/>
        <v>0</v>
      </c>
      <c r="H35" s="28">
        <f t="shared" si="12"/>
        <v>640</v>
      </c>
    </row>
    <row r="36" spans="3:8" x14ac:dyDescent="0.35">
      <c r="C36" s="28">
        <v>6</v>
      </c>
      <c r="D36" s="29">
        <f t="shared" si="9"/>
        <v>0</v>
      </c>
      <c r="E36" s="36">
        <f t="shared" si="10"/>
        <v>0</v>
      </c>
      <c r="F36" s="36"/>
      <c r="G36" s="28">
        <f t="shared" si="11"/>
        <v>0</v>
      </c>
      <c r="H36" s="28">
        <f t="shared" si="12"/>
        <v>640</v>
      </c>
    </row>
  </sheetData>
  <mergeCells count="1">
    <mergeCell ref="C29:H2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Aggregate</vt:lpstr>
      <vt:lpstr>Aggregate Plan (trial)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Ahmad Hussain AlNasser</cp:lastModifiedBy>
  <dcterms:created xsi:type="dcterms:W3CDTF">2022-11-02T17:45:05Z</dcterms:created>
  <dcterms:modified xsi:type="dcterms:W3CDTF">2025-12-08T07:54:05Z</dcterms:modified>
</cp:coreProperties>
</file>