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KFUPM\OM 514\514-241\Excel Files\"/>
    </mc:Choice>
  </mc:AlternateContent>
  <xr:revisionPtr revIDLastSave="0" documentId="13_ncr:1_{317B1E42-6F31-4E9F-8446-B54F7DA85859}" xr6:coauthVersionLast="47" xr6:coauthVersionMax="47" xr10:uidLastSave="{00000000-0000-0000-0000-000000000000}"/>
  <bookViews>
    <workbookView xWindow="-110" yWindow="-110" windowWidth="19420" windowHeight="10420" xr2:uid="{00000000-000D-0000-FFFF-FFFF00000000}"/>
  </bookViews>
  <sheets>
    <sheet name="Averages" sheetId="9" r:id="rId1"/>
    <sheet name="Exp.Smoothing " sheetId="10" r:id="rId2"/>
    <sheet name="Forecasting Errors" sheetId="3" r:id="rId3"/>
    <sheet name="Double Exp.Smoothing (FIT)" sheetId="4" r:id="rId4"/>
    <sheet name="Trend Projection" sheetId="5" r:id="rId5"/>
    <sheet name="Trend Projection 2" sheetId="6" r:id="rId6"/>
    <sheet name="Seasonal Index " sheetId="7" r:id="rId7"/>
    <sheet name="Seasonality + Trend "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D3" i="4"/>
  <c r="C4" i="4" s="1"/>
  <c r="C3" i="4"/>
  <c r="E3" i="4"/>
  <c r="L10" i="3"/>
  <c r="L3" i="3"/>
  <c r="L4" i="3"/>
  <c r="L5" i="3"/>
  <c r="L6" i="3"/>
  <c r="L7" i="3"/>
  <c r="L8" i="3"/>
  <c r="L9" i="3"/>
  <c r="L2" i="3"/>
  <c r="K10" i="3"/>
  <c r="K3" i="3"/>
  <c r="K4" i="3"/>
  <c r="K5" i="3"/>
  <c r="K6" i="3"/>
  <c r="K7" i="3"/>
  <c r="K8" i="3"/>
  <c r="K9" i="3"/>
  <c r="K2" i="3"/>
  <c r="J10" i="3"/>
  <c r="I10" i="3"/>
  <c r="J3" i="3"/>
  <c r="J4" i="3"/>
  <c r="J5" i="3"/>
  <c r="J6" i="3"/>
  <c r="J7" i="3"/>
  <c r="J8" i="3"/>
  <c r="J9" i="3"/>
  <c r="J2" i="3"/>
  <c r="I3" i="3"/>
  <c r="I4" i="3"/>
  <c r="I5" i="3"/>
  <c r="I6" i="3"/>
  <c r="I7" i="3"/>
  <c r="I8" i="3"/>
  <c r="I9" i="3"/>
  <c r="I2" i="3"/>
  <c r="H10" i="3"/>
  <c r="G10" i="3"/>
  <c r="H3" i="3"/>
  <c r="H4" i="3"/>
  <c r="H5" i="3"/>
  <c r="H6" i="3"/>
  <c r="H7" i="3"/>
  <c r="H8" i="3"/>
  <c r="H9" i="3"/>
  <c r="H2" i="3"/>
  <c r="G3" i="3"/>
  <c r="G4" i="3"/>
  <c r="G5" i="3"/>
  <c r="G6" i="3"/>
  <c r="G7" i="3"/>
  <c r="G8" i="3"/>
  <c r="G9" i="3"/>
  <c r="G2" i="3"/>
  <c r="F3" i="3"/>
  <c r="F4" i="3"/>
  <c r="F5" i="3"/>
  <c r="F6" i="3"/>
  <c r="F7" i="3"/>
  <c r="F8" i="3"/>
  <c r="F9" i="3"/>
  <c r="F2" i="3"/>
  <c r="E3" i="3"/>
  <c r="E4" i="3"/>
  <c r="E5" i="3"/>
  <c r="E6" i="3"/>
  <c r="E7" i="3"/>
  <c r="E8" i="3"/>
  <c r="E9" i="3"/>
  <c r="E2" i="3"/>
  <c r="F16" i="3"/>
  <c r="H16" i="3" s="1"/>
  <c r="F17" i="3"/>
  <c r="H17" i="3" s="1"/>
  <c r="F18" i="3"/>
  <c r="G18" i="3" s="1"/>
  <c r="F15" i="3"/>
  <c r="H15" i="3" s="1"/>
  <c r="E3" i="10"/>
  <c r="E4" i="10" s="1"/>
  <c r="E5" i="10" s="1"/>
  <c r="E6" i="10" s="1"/>
  <c r="E7" i="10" s="1"/>
  <c r="E8" i="10" s="1"/>
  <c r="E9" i="10" s="1"/>
  <c r="D3" i="10"/>
  <c r="D4" i="10" s="1"/>
  <c r="D5" i="10" s="1"/>
  <c r="D6" i="10" s="1"/>
  <c r="D7" i="10" s="1"/>
  <c r="D8" i="10" s="1"/>
  <c r="D9" i="10" s="1"/>
  <c r="C3" i="10"/>
  <c r="C4" i="10" s="1"/>
  <c r="C5" i="10" s="1"/>
  <c r="C6" i="10" s="1"/>
  <c r="C7" i="10" s="1"/>
  <c r="C8" i="10" s="1"/>
  <c r="C9" i="10" s="1"/>
  <c r="E19" i="9"/>
  <c r="E20" i="9"/>
  <c r="E21" i="9"/>
  <c r="E22" i="9"/>
  <c r="E12" i="9"/>
  <c r="E13" i="9"/>
  <c r="E14" i="9"/>
  <c r="E15" i="9"/>
  <c r="E16" i="9"/>
  <c r="E17" i="9"/>
  <c r="E18" i="9"/>
  <c r="E6" i="9"/>
  <c r="E7" i="9"/>
  <c r="E8" i="9"/>
  <c r="E9" i="9"/>
  <c r="E10" i="9"/>
  <c r="E11" i="9"/>
  <c r="E5" i="9"/>
  <c r="D13" i="9"/>
  <c r="D15" i="9"/>
  <c r="D16" i="9"/>
  <c r="D17" i="9"/>
  <c r="D18" i="9"/>
  <c r="D19" i="9"/>
  <c r="D20" i="9"/>
  <c r="D21" i="9"/>
  <c r="D22" i="9"/>
  <c r="D8" i="9"/>
  <c r="D9" i="9"/>
  <c r="D10" i="9"/>
  <c r="D11" i="9"/>
  <c r="D12" i="9"/>
  <c r="D14" i="9"/>
  <c r="D6" i="9"/>
  <c r="D7" i="9"/>
  <c r="D5" i="9"/>
  <c r="C18" i="9"/>
  <c r="C19" i="9"/>
  <c r="C20" i="9"/>
  <c r="C21" i="9"/>
  <c r="C22" i="9"/>
  <c r="C14" i="9"/>
  <c r="C15" i="9"/>
  <c r="C16" i="9"/>
  <c r="C17" i="9"/>
  <c r="C6" i="9"/>
  <c r="C7" i="9"/>
  <c r="C8" i="9"/>
  <c r="C9" i="9"/>
  <c r="C10" i="9"/>
  <c r="C11" i="9"/>
  <c r="C12" i="9"/>
  <c r="C13" i="9"/>
  <c r="C5" i="9"/>
  <c r="C4" i="9"/>
  <c r="E5" i="7"/>
  <c r="E6" i="7"/>
  <c r="I6" i="7" s="1"/>
  <c r="E7" i="7"/>
  <c r="I7" i="7" s="1"/>
  <c r="E8" i="7"/>
  <c r="E9" i="7"/>
  <c r="E10" i="7"/>
  <c r="I10" i="7" s="1"/>
  <c r="E11" i="7"/>
  <c r="I11" i="7" s="1"/>
  <c r="E12" i="7"/>
  <c r="E13" i="7"/>
  <c r="E14" i="7"/>
  <c r="I14" i="7" s="1"/>
  <c r="E4" i="7"/>
  <c r="I4" i="7" s="1"/>
  <c r="E3" i="7"/>
  <c r="I3" i="7" s="1"/>
  <c r="H4" i="7"/>
  <c r="H5" i="7"/>
  <c r="I5" i="7" s="1"/>
  <c r="H6" i="7"/>
  <c r="H7" i="7"/>
  <c r="H8" i="7"/>
  <c r="I8" i="7" s="1"/>
  <c r="H9" i="7"/>
  <c r="I9" i="7" s="1"/>
  <c r="H10" i="7"/>
  <c r="H11" i="7"/>
  <c r="H12" i="7"/>
  <c r="I12" i="7" s="1"/>
  <c r="H13" i="7"/>
  <c r="I13" i="7" s="1"/>
  <c r="H14" i="7"/>
  <c r="H3" i="7"/>
  <c r="B10" i="5"/>
  <c r="E5" i="8"/>
  <c r="E6" i="8"/>
  <c r="E9" i="8"/>
  <c r="E10" i="8"/>
  <c r="E13" i="8"/>
  <c r="C4" i="8"/>
  <c r="E4" i="8" s="1"/>
  <c r="C5" i="8"/>
  <c r="C6" i="8"/>
  <c r="C7" i="8"/>
  <c r="E7" i="8" s="1"/>
  <c r="C8" i="8"/>
  <c r="E8" i="8" s="1"/>
  <c r="C9" i="8"/>
  <c r="C10" i="8"/>
  <c r="C11" i="8"/>
  <c r="E11" i="8" s="1"/>
  <c r="C12" i="8"/>
  <c r="E12" i="8" s="1"/>
  <c r="C13" i="8"/>
  <c r="C3" i="8"/>
  <c r="E3" i="8" s="1"/>
  <c r="E2" i="8"/>
  <c r="C2" i="8"/>
  <c r="F20" i="7"/>
  <c r="E20" i="7"/>
  <c r="E21" i="7" s="1"/>
  <c r="B21" i="7" s="1"/>
  <c r="B12" i="6"/>
  <c r="B9" i="5" l="1"/>
  <c r="G17" i="3"/>
  <c r="H18" i="3"/>
  <c r="H19" i="3" s="1"/>
  <c r="F19" i="3"/>
  <c r="G16" i="3"/>
  <c r="B20" i="7"/>
  <c r="G15" i="3"/>
  <c r="E22" i="7"/>
  <c r="B22" i="7" s="1"/>
  <c r="G19" i="3" l="1"/>
  <c r="C5" i="4"/>
  <c r="D5" i="4" s="1"/>
  <c r="E23" i="7"/>
  <c r="B23" i="7" s="1"/>
  <c r="C6" i="4" l="1"/>
  <c r="D6" i="4" s="1"/>
  <c r="E4" i="4"/>
  <c r="E24" i="7"/>
  <c r="B24" i="7" s="1"/>
  <c r="E5" i="4" l="1"/>
  <c r="C7" i="4"/>
  <c r="D7" i="4" s="1"/>
  <c r="E25" i="7"/>
  <c r="B25" i="7" s="1"/>
  <c r="D4" i="3"/>
  <c r="D3" i="3"/>
  <c r="C3" i="3"/>
  <c r="D5" i="3" l="1"/>
  <c r="C4" i="3"/>
  <c r="C8" i="4"/>
  <c r="D8" i="4" s="1"/>
  <c r="E6" i="4"/>
  <c r="E26" i="7"/>
  <c r="B26" i="7" s="1"/>
  <c r="D6" i="3" l="1"/>
  <c r="C5" i="3"/>
  <c r="C9" i="4"/>
  <c r="D9" i="4" s="1"/>
  <c r="E7" i="4"/>
  <c r="E27" i="7"/>
  <c r="B27" i="7" s="1"/>
  <c r="C6" i="3" l="1"/>
  <c r="D7" i="3"/>
  <c r="C10" i="4"/>
  <c r="D10" i="4" s="1"/>
  <c r="E8" i="4"/>
  <c r="E28" i="7"/>
  <c r="B28" i="7" s="1"/>
  <c r="D8" i="3" l="1"/>
  <c r="C7" i="3"/>
  <c r="C11" i="4"/>
  <c r="D11" i="4" s="1"/>
  <c r="E9" i="4"/>
  <c r="E29" i="7"/>
  <c r="B29" i="7" s="1"/>
  <c r="C16" i="7"/>
  <c r="B17" i="7" s="1"/>
  <c r="D16" i="7"/>
  <c r="B16" i="7"/>
  <c r="D9" i="3" l="1"/>
  <c r="C8" i="3"/>
  <c r="F17" i="7"/>
  <c r="C17" i="7"/>
  <c r="D17" i="7"/>
  <c r="E11" i="4"/>
  <c r="E10" i="4"/>
  <c r="E30" i="7"/>
  <c r="B30" i="7" s="1"/>
  <c r="C9" i="3" l="1"/>
  <c r="E31" i="7"/>
  <c r="B3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tc={A4642595-E6FD-4A4D-9F86-29EB539BC8A3}</author>
  </authors>
  <commentList>
    <comment ref="E15" authorId="0" shapeId="0" xr:uid="{A4642595-E6FD-4A4D-9F86-29EB539BC8A3}">
      <text>
        <t>[Threaded comment]
Your version of Excel allows you to read this threaded comment; however, any edits to it will get removed if the file is opened in a newer version of Excel. Learn more: https://go.microsoft.com/fwlink/?linkid=870924
Comment:
    This shows that previous period actual demand was given a weight = Alpha, while the previous period forecast was given a weight of 1-alpha.
This implies that: the higher the alpha value, the more weight is given to the most recent actual demand A1 hence it will affect our forecast by the magnitude of this alpha. While the remaining weight (1-Alpha) is given to all previous data points is a decreasing manner (the older the data the lower the weight.
The opposite is true when we assign lower alpha.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tc={C067F5A5-7246-4C72-BDAC-746670F7B016}</author>
    <author>tc={323AC395-76E4-48E6-923C-F4CE42DBF32E}</author>
  </authors>
  <commentList>
    <comment ref="C2" authorId="0" shapeId="0" xr:uid="{C067F5A5-7246-4C72-BDAC-746670F7B016}">
      <text>
        <t>[Threaded comment]
Your version of Excel allows you to read this threaded comment; however, any edits to it will get removed if the file is opened in a newer version of Excel. Learn more: https://go.microsoft.com/fwlink/?linkid=870924
Comment:
    This is an initial forecast for period 1 (given in this problem)</t>
      </text>
    </comment>
    <comment ref="D2" authorId="1" shapeId="0" xr:uid="{323AC395-76E4-48E6-923C-F4CE42DBF32E}">
      <text>
        <t>[Threaded comment]
Your version of Excel allows you to read this threaded comment; however, any edits to it will get removed if the file is opened in a newer version of Excel. Learn more: https://go.microsoft.com/fwlink/?linkid=870924
Comment:
    This is an initial trend value (given in this problem)</t>
      </text>
    </comment>
  </commentList>
</comments>
</file>

<file path=xl/sharedStrings.xml><?xml version="1.0" encoding="utf-8"?>
<sst xmlns="http://schemas.openxmlformats.org/spreadsheetml/2006/main" count="205" uniqueCount="96">
  <si>
    <t>b</t>
  </si>
  <si>
    <t>a</t>
  </si>
  <si>
    <t>Quarter</t>
  </si>
  <si>
    <t>Actual</t>
  </si>
  <si>
    <t>Forecast</t>
  </si>
  <si>
    <t>Alpha</t>
  </si>
  <si>
    <r>
      <t xml:space="preserve">Forecast </t>
    </r>
    <r>
      <rPr>
        <sz val="11"/>
        <color theme="1"/>
        <rFont val="Calibri"/>
        <family val="2"/>
      </rPr>
      <t>α=0.1</t>
    </r>
  </si>
  <si>
    <r>
      <t xml:space="preserve">Forecast </t>
    </r>
    <r>
      <rPr>
        <sz val="11"/>
        <color theme="1"/>
        <rFont val="Calibri"/>
        <family val="2"/>
      </rPr>
      <t>α=0.5</t>
    </r>
  </si>
  <si>
    <r>
      <t xml:space="preserve">Error </t>
    </r>
    <r>
      <rPr>
        <sz val="11"/>
        <color theme="1"/>
        <rFont val="Calibri"/>
        <family val="2"/>
      </rPr>
      <t>α=0.1</t>
    </r>
  </si>
  <si>
    <r>
      <t xml:space="preserve">Error </t>
    </r>
    <r>
      <rPr>
        <sz val="11"/>
        <color theme="1"/>
        <rFont val="Calibri"/>
        <family val="2"/>
      </rPr>
      <t>α=0.5</t>
    </r>
  </si>
  <si>
    <r>
      <t xml:space="preserve">Absolute Deviation </t>
    </r>
    <r>
      <rPr>
        <sz val="11"/>
        <color theme="1"/>
        <rFont val="Calibri"/>
        <family val="2"/>
      </rPr>
      <t>α=0.1</t>
    </r>
  </si>
  <si>
    <r>
      <t xml:space="preserve">Absolute Deviation </t>
    </r>
    <r>
      <rPr>
        <sz val="11"/>
        <color theme="1"/>
        <rFont val="Calibri"/>
        <family val="2"/>
      </rPr>
      <t>α=0.5</t>
    </r>
  </si>
  <si>
    <t>Sequared Error α=0.1</t>
  </si>
  <si>
    <t>Sequared Error α=0.5</t>
  </si>
  <si>
    <r>
      <t>MAD</t>
    </r>
    <r>
      <rPr>
        <sz val="11"/>
        <color theme="1"/>
        <rFont val="Calibri"/>
        <family val="2"/>
      </rPr>
      <t>α=0.1</t>
    </r>
  </si>
  <si>
    <r>
      <t>MAD</t>
    </r>
    <r>
      <rPr>
        <sz val="11"/>
        <color theme="1"/>
        <rFont val="Calibri"/>
        <family val="2"/>
      </rPr>
      <t>α=0.5</t>
    </r>
  </si>
  <si>
    <r>
      <t>MSE</t>
    </r>
    <r>
      <rPr>
        <sz val="11"/>
        <color theme="1"/>
        <rFont val="Calibri"/>
        <family val="2"/>
      </rPr>
      <t>α=0.1</t>
    </r>
  </si>
  <si>
    <r>
      <t>MSE</t>
    </r>
    <r>
      <rPr>
        <sz val="11"/>
        <color theme="1"/>
        <rFont val="Calibri"/>
        <family val="2"/>
      </rPr>
      <t>α=0.5</t>
    </r>
  </si>
  <si>
    <r>
      <t xml:space="preserve">Abs.Percent Error </t>
    </r>
    <r>
      <rPr>
        <sz val="11"/>
        <color theme="1"/>
        <rFont val="Calibri"/>
        <family val="2"/>
      </rPr>
      <t>α=0.1</t>
    </r>
  </si>
  <si>
    <r>
      <t xml:space="preserve">Abs.Percent Error </t>
    </r>
    <r>
      <rPr>
        <sz val="11"/>
        <color theme="1"/>
        <rFont val="Calibri"/>
        <family val="2"/>
      </rPr>
      <t>α=0.5</t>
    </r>
  </si>
  <si>
    <r>
      <t xml:space="preserve">MAPE </t>
    </r>
    <r>
      <rPr>
        <sz val="11"/>
        <color theme="1"/>
        <rFont val="Calibri"/>
        <family val="2"/>
      </rPr>
      <t>α=0.1</t>
    </r>
  </si>
  <si>
    <r>
      <t xml:space="preserve">MAPE </t>
    </r>
    <r>
      <rPr>
        <sz val="11"/>
        <color theme="1"/>
        <rFont val="Calibri"/>
        <family val="2"/>
      </rPr>
      <t>α=0.5</t>
    </r>
  </si>
  <si>
    <t>Month</t>
  </si>
  <si>
    <t>Actual demand</t>
  </si>
  <si>
    <r>
      <t xml:space="preserve"> </t>
    </r>
    <r>
      <rPr>
        <sz val="11"/>
        <color theme="1"/>
        <rFont val="Calibri"/>
        <family val="2"/>
      </rPr>
      <t>α</t>
    </r>
  </si>
  <si>
    <t>β</t>
  </si>
  <si>
    <t>F</t>
  </si>
  <si>
    <t>T</t>
  </si>
  <si>
    <t>FIT</t>
  </si>
  <si>
    <t>Year</t>
  </si>
  <si>
    <t>So we need the values of a and b</t>
  </si>
  <si>
    <t>Year(X)</t>
  </si>
  <si>
    <t>Demand(Y)</t>
  </si>
  <si>
    <t>Forecasted Demand</t>
  </si>
  <si>
    <t>NO.of Patients</t>
  </si>
  <si>
    <t>DEMAND</t>
  </si>
  <si>
    <t>MONTH</t>
  </si>
  <si>
    <t>YEAR 1</t>
  </si>
  <si>
    <t>YEAR 2</t>
  </si>
  <si>
    <t>YEAR 3</t>
  </si>
  <si>
    <t>AVERAGE YEARLY DEMAND</t>
  </si>
  <si>
    <t>AVERAGE MONTHLY DEMAND</t>
  </si>
  <si>
    <t>SEASONAL INDEX</t>
  </si>
  <si>
    <t>Jan</t>
  </si>
  <si>
    <t>Feb</t>
  </si>
  <si>
    <t>Mar</t>
  </si>
  <si>
    <t>Apr</t>
  </si>
  <si>
    <t>May</t>
  </si>
  <si>
    <t>June</t>
  </si>
  <si>
    <t>July</t>
  </si>
  <si>
    <t>Aug</t>
  </si>
  <si>
    <t>Sept</t>
  </si>
  <si>
    <t>Oct</t>
  </si>
  <si>
    <t>Nov</t>
  </si>
  <si>
    <t>Dec</t>
  </si>
  <si>
    <t>Total average demand</t>
  </si>
  <si>
    <t>Forecast for year 4 using seasonal indecies</t>
  </si>
  <si>
    <t>Estimated total demand for next year</t>
  </si>
  <si>
    <t>F. Demand for year 4</t>
  </si>
  <si>
    <t>Month in Numbers</t>
  </si>
  <si>
    <t>Trend value</t>
  </si>
  <si>
    <t>Seasonal indecies</t>
  </si>
  <si>
    <t>Using Trend line equation</t>
  </si>
  <si>
    <t>y= 21.5X+8090</t>
  </si>
  <si>
    <t>Period</t>
  </si>
  <si>
    <t>Sales</t>
  </si>
  <si>
    <t>Forecast (Average)</t>
  </si>
  <si>
    <t>Forecast (3-MA)</t>
  </si>
  <si>
    <t>Forecast 3-WMV)</t>
  </si>
  <si>
    <t>F+T</t>
  </si>
  <si>
    <t>F2</t>
  </si>
  <si>
    <t>F1+Alpha*(Actual1-Forecast1)</t>
  </si>
  <si>
    <t>F1+Alpha*A1-Alpha*F1</t>
  </si>
  <si>
    <t>(1-alpha)F1+Alpha A1</t>
  </si>
  <si>
    <t>F2=</t>
  </si>
  <si>
    <r>
      <t xml:space="preserve">Forecast </t>
    </r>
    <r>
      <rPr>
        <sz val="11"/>
        <color theme="1"/>
        <rFont val="Calibri"/>
        <family val="2"/>
      </rPr>
      <t>α=0.8</t>
    </r>
  </si>
  <si>
    <t>α (Alpha symbol)</t>
  </si>
  <si>
    <r>
      <rPr>
        <sz val="11"/>
        <color theme="1"/>
        <rFont val="Segoe UI"/>
        <family val="2"/>
      </rPr>
      <t>β</t>
    </r>
    <r>
      <rPr>
        <sz val="17.600000000000001"/>
        <color theme="1"/>
        <rFont val="Calibri"/>
        <family val="2"/>
      </rPr>
      <t xml:space="preserve"> </t>
    </r>
    <r>
      <rPr>
        <sz val="11"/>
        <color theme="1"/>
        <rFont val="Calibri"/>
        <family val="2"/>
      </rPr>
      <t>(Beta symbol)</t>
    </r>
  </si>
  <si>
    <t>Weights</t>
  </si>
  <si>
    <t xml:space="preserve">Most recent </t>
  </si>
  <si>
    <t>2nd most recent</t>
  </si>
  <si>
    <t>oldest</t>
  </si>
  <si>
    <t>Error</t>
  </si>
  <si>
    <t>abs value</t>
  </si>
  <si>
    <t>Square</t>
  </si>
  <si>
    <t>T2</t>
  </si>
  <si>
    <t>Beta(F2-F1)+(1-Beta)*T1</t>
  </si>
  <si>
    <t>Alpha (A1)+(1-alpha)*(F1+T1)</t>
  </si>
  <si>
    <t>Sales=intercept+slop*time</t>
  </si>
  <si>
    <t>Y=29.7333+3.2848X</t>
  </si>
  <si>
    <t>F3=</t>
  </si>
  <si>
    <t>F2+Alpha*(Actual2-Forecast2)</t>
  </si>
  <si>
    <t>MAD</t>
  </si>
  <si>
    <t>MSE</t>
  </si>
  <si>
    <t>Y</t>
  </si>
  <si>
    <t>intercept+slope*X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</si>
</sst>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2" x14ac:knownFonts="1">
    <font>
      <sz val="11"/>
      <color theme="1"/>
      <name val="Calibri"/>
      <family val="2"/>
      <scheme val="minor"/>
    </font>
    <font>
      <b/>
      <sz val="11"/>
      <color theme="1"/>
      <name val="Calibri"/>
      <family val="2"/>
      <scheme val="minor"/>
    </font>
    <font>
      <sz val="11"/>
      <color theme="1"/>
      <name val="Calibri"/>
      <family val="2"/>
    </font>
    <font>
      <sz val="18"/>
      <name val="Arial"/>
      <family val="2"/>
    </font>
    <font>
      <b/>
      <sz val="14"/>
      <color rgb="FFFFFFFF"/>
      <name val="Arial"/>
      <family val="2"/>
    </font>
    <font>
      <sz val="14"/>
      <color rgb="FF000000"/>
      <name val="Arial"/>
      <family val="2"/>
    </font>
    <font>
      <b/>
      <sz val="12"/>
      <color theme="1"/>
      <name val="Calibri"/>
      <family val="2"/>
      <scheme val="minor"/>
    </font>
    <font>
      <b/>
      <sz val="12"/>
      <color rgb="FF000000"/>
      <name val="Arial"/>
      <family val="2"/>
    </font>
    <font>
      <sz val="11"/>
      <color theme="1"/>
      <name val="Calibri"/>
      <family val="2"/>
      <scheme val="minor"/>
    </font>
    <font>
      <sz val="11"/>
      <color theme="1"/>
      <name val="Aptos Narrow"/>
      <family val="2"/>
    </font>
    <font>
      <sz val="17.600000000000001"/>
      <color theme="1"/>
      <name val="Calibri"/>
      <family val="2"/>
    </font>
    <font>
      <sz val="11"/>
      <color theme="1"/>
      <name val="Segoe UI"/>
      <family val="2"/>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rgb="FFD3332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rgb="FFBFBFBF"/>
      </left>
      <right style="medium">
        <color rgb="FFBFBFBF"/>
      </right>
      <top style="medium">
        <color rgb="FFBFBFBF"/>
      </top>
      <bottom style="medium">
        <color rgb="FFBFBFBF"/>
      </bottom>
      <diagonal/>
    </border>
    <border>
      <left style="thin">
        <color indexed="64"/>
      </left>
      <right style="thin">
        <color indexed="64"/>
      </right>
      <top/>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style="medium">
        <color rgb="FFBFBFBF"/>
      </top>
      <bottom style="medium">
        <color rgb="FFBFBFBF"/>
      </bottom>
      <diagonal/>
    </border>
    <border>
      <left style="medium">
        <color rgb="FFBFBFBF"/>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thin">
        <color indexed="64"/>
      </left>
      <right/>
      <top style="thin">
        <color indexed="64"/>
      </top>
      <bottom style="thin">
        <color indexed="64"/>
      </bottom>
      <diagonal/>
    </border>
    <border>
      <left style="thin">
        <color indexed="64"/>
      </left>
      <right/>
      <top/>
      <bottom/>
      <diagonal/>
    </border>
  </borders>
  <cellStyleXfs count="3">
    <xf numFmtId="0" fontId="0" fillId="0" borderId="0"/>
    <xf numFmtId="43" fontId="8" fillId="0" borderId="0" applyFont="0" applyFill="0" applyBorder="0" applyAlignment="0" applyProtection="0"/>
    <xf numFmtId="9" fontId="8" fillId="0" borderId="0" applyFont="0" applyFill="0" applyBorder="0" applyAlignment="0" applyProtection="0"/>
  </cellStyleXfs>
  <cellXfs count="55">
    <xf numFmtId="0" fontId="0" fillId="0" borderId="0" xfId="0"/>
    <xf numFmtId="0" fontId="0" fillId="2" borderId="0" xfId="0" applyFill="1"/>
    <xf numFmtId="0" fontId="0" fillId="3" borderId="1"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2" fontId="0" fillId="2" borderId="1" xfId="0" applyNumberFormat="1" applyFill="1" applyBorder="1" applyAlignment="1">
      <alignment horizontal="center"/>
    </xf>
    <xf numFmtId="0" fontId="2" fillId="0" borderId="1" xfId="0" applyFont="1" applyBorder="1" applyAlignment="1">
      <alignment horizontal="center"/>
    </xf>
    <xf numFmtId="0" fontId="4" fillId="6" borderId="2" xfId="0" applyFont="1" applyFill="1" applyBorder="1" applyAlignment="1">
      <alignment horizontal="center" vertical="center" wrapText="1" readingOrder="1"/>
    </xf>
    <xf numFmtId="0" fontId="0" fillId="0" borderId="3" xfId="0" applyBorder="1" applyAlignment="1">
      <alignment horizontal="center"/>
    </xf>
    <xf numFmtId="0" fontId="3" fillId="6" borderId="4" xfId="0" applyFont="1" applyFill="1" applyBorder="1" applyAlignment="1">
      <alignment horizontal="center" wrapText="1"/>
    </xf>
    <xf numFmtId="0" fontId="3" fillId="6" borderId="6" xfId="0" applyFont="1" applyFill="1" applyBorder="1" applyAlignment="1">
      <alignment horizontal="center" wrapText="1"/>
    </xf>
    <xf numFmtId="0" fontId="3" fillId="6" borderId="5" xfId="0" applyFont="1" applyFill="1" applyBorder="1" applyAlignment="1">
      <alignment horizontal="center" wrapText="1"/>
    </xf>
    <xf numFmtId="0" fontId="5" fillId="0" borderId="2" xfId="0" applyFont="1" applyBorder="1" applyAlignment="1">
      <alignment horizontal="left" vertical="center" wrapText="1" readingOrder="1"/>
    </xf>
    <xf numFmtId="0" fontId="3" fillId="0" borderId="2" xfId="0" applyFont="1" applyBorder="1" applyAlignment="1">
      <alignment horizontal="center" vertical="top" wrapText="1"/>
    </xf>
    <xf numFmtId="0" fontId="4" fillId="6" borderId="7" xfId="0" applyFont="1" applyFill="1" applyBorder="1" applyAlignment="1">
      <alignment horizontal="center" vertical="center" wrapText="1" readingOrder="1"/>
    </xf>
    <xf numFmtId="164" fontId="3" fillId="0" borderId="2" xfId="0" applyNumberFormat="1" applyFont="1" applyBorder="1" applyAlignment="1">
      <alignment horizontal="right" vertical="top" wrapText="1" indent="1"/>
    </xf>
    <xf numFmtId="0" fontId="6" fillId="0" borderId="1" xfId="0" applyFont="1" applyBorder="1" applyAlignment="1">
      <alignment horizontal="center"/>
    </xf>
    <xf numFmtId="0" fontId="7" fillId="0" borderId="1" xfId="0" applyFont="1" applyBorder="1" applyAlignment="1">
      <alignment horizontal="center" vertical="center" wrapText="1" readingOrder="1"/>
    </xf>
    <xf numFmtId="0" fontId="1" fillId="0" borderId="1" xfId="0" applyFont="1" applyBorder="1" applyAlignment="1">
      <alignment horizontal="center"/>
    </xf>
    <xf numFmtId="0" fontId="1" fillId="2" borderId="0" xfId="0" applyFont="1" applyFill="1"/>
    <xf numFmtId="2" fontId="0" fillId="0" borderId="1" xfId="0" applyNumberFormat="1" applyBorder="1" applyAlignment="1">
      <alignment horizontal="center"/>
    </xf>
    <xf numFmtId="0" fontId="0" fillId="0" borderId="0" xfId="0" applyAlignment="1">
      <alignment horizontal="right"/>
    </xf>
    <xf numFmtId="0" fontId="5" fillId="0" borderId="2" xfId="0" applyFont="1" applyBorder="1" applyAlignment="1">
      <alignment horizontal="center" vertical="center" wrapText="1" readingOrder="1"/>
    </xf>
    <xf numFmtId="164" fontId="3" fillId="0" borderId="2" xfId="0" applyNumberFormat="1" applyFont="1" applyBorder="1" applyAlignment="1">
      <alignment horizontal="center" vertical="top" wrapText="1"/>
    </xf>
    <xf numFmtId="43" fontId="0" fillId="3" borderId="1" xfId="1" applyFont="1" applyFill="1" applyBorder="1" applyAlignment="1">
      <alignment horizontal="center"/>
    </xf>
    <xf numFmtId="43" fontId="0" fillId="0" borderId="1" xfId="1" applyFont="1" applyBorder="1" applyAlignment="1">
      <alignment horizontal="center"/>
    </xf>
    <xf numFmtId="0" fontId="0" fillId="5" borderId="0" xfId="0" applyFill="1"/>
    <xf numFmtId="2" fontId="0" fillId="5" borderId="1" xfId="0" applyNumberFormat="1" applyFill="1" applyBorder="1" applyAlignment="1">
      <alignment horizontal="center"/>
    </xf>
    <xf numFmtId="2" fontId="0" fillId="0" borderId="1" xfId="1" applyNumberFormat="1" applyFont="1" applyBorder="1" applyAlignment="1">
      <alignment horizontal="center"/>
    </xf>
    <xf numFmtId="0" fontId="9" fillId="0" borderId="0" xfId="0" applyFont="1"/>
    <xf numFmtId="0" fontId="2" fillId="0" borderId="0" xfId="0" applyFont="1"/>
    <xf numFmtId="0" fontId="0" fillId="5" borderId="0" xfId="0" applyFill="1" applyAlignment="1">
      <alignment horizontal="center"/>
    </xf>
    <xf numFmtId="0" fontId="0" fillId="0" borderId="11" xfId="0" applyBorder="1" applyAlignment="1">
      <alignment horizontal="center"/>
    </xf>
    <xf numFmtId="0" fontId="0" fillId="0" borderId="0" xfId="0" applyAlignment="1">
      <alignment horizontal="center"/>
    </xf>
    <xf numFmtId="0" fontId="0" fillId="0" borderId="12" xfId="0" applyBorder="1" applyAlignment="1">
      <alignment horizontal="center"/>
    </xf>
    <xf numFmtId="2" fontId="0" fillId="3" borderId="1" xfId="1" applyNumberFormat="1" applyFont="1" applyFill="1" applyBorder="1" applyAlignment="1">
      <alignment horizontal="center"/>
    </xf>
    <xf numFmtId="2" fontId="0" fillId="5" borderId="1" xfId="1" applyNumberFormat="1" applyFont="1" applyFill="1" applyBorder="1" applyAlignment="1">
      <alignment horizontal="center"/>
    </xf>
    <xf numFmtId="2" fontId="0" fillId="4" borderId="1" xfId="0" applyNumberFormat="1" applyFill="1" applyBorder="1" applyAlignment="1">
      <alignment horizontal="center"/>
    </xf>
    <xf numFmtId="0" fontId="0" fillId="5" borderId="3" xfId="0" applyFill="1" applyBorder="1" applyAlignment="1">
      <alignment horizontal="center"/>
    </xf>
    <xf numFmtId="10" fontId="0" fillId="3" borderId="1" xfId="2" applyNumberFormat="1" applyFont="1" applyFill="1" applyBorder="1" applyAlignment="1">
      <alignment horizontal="center"/>
    </xf>
    <xf numFmtId="10" fontId="0" fillId="2" borderId="1" xfId="2" applyNumberFormat="1" applyFont="1" applyFill="1" applyBorder="1" applyAlignment="1">
      <alignment horizontal="center"/>
    </xf>
    <xf numFmtId="10" fontId="0" fillId="0" borderId="0" xfId="2" applyNumberFormat="1" applyFont="1"/>
    <xf numFmtId="0" fontId="0" fillId="2" borderId="11" xfId="0" applyFill="1" applyBorder="1" applyAlignment="1">
      <alignment horizontal="center"/>
    </xf>
    <xf numFmtId="0" fontId="1" fillId="0" borderId="0" xfId="0" applyFont="1" applyAlignment="1">
      <alignment horizontal="center" vertical="center"/>
    </xf>
    <xf numFmtId="0" fontId="3" fillId="0" borderId="8" xfId="0" applyFont="1" applyBorder="1" applyAlignment="1">
      <alignment horizontal="center" vertical="top" wrapText="1" readingOrder="1"/>
    </xf>
    <xf numFmtId="0" fontId="3" fillId="0" borderId="9" xfId="0" applyFont="1" applyBorder="1" applyAlignment="1">
      <alignment horizontal="center" vertical="top" wrapText="1" readingOrder="1"/>
    </xf>
    <xf numFmtId="0" fontId="3" fillId="0" borderId="10" xfId="0" applyFont="1" applyBorder="1" applyAlignment="1">
      <alignment horizontal="center" vertical="top" wrapText="1" readingOrder="1"/>
    </xf>
    <xf numFmtId="0" fontId="4" fillId="6" borderId="6"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4" fillId="6" borderId="4" xfId="0" applyFont="1" applyFill="1" applyBorder="1" applyAlignment="1">
      <alignment horizontal="center" vertical="center" wrapText="1" readingOrder="1"/>
    </xf>
    <xf numFmtId="0" fontId="1" fillId="0" borderId="9" xfId="0" applyFont="1" applyBorder="1" applyAlignment="1">
      <alignment horizontal="center" vertical="center"/>
    </xf>
    <xf numFmtId="0" fontId="6" fillId="0" borderId="1" xfId="0" applyFont="1" applyBorder="1" applyAlignment="1">
      <alignment horizontal="center"/>
    </xf>
    <xf numFmtId="2" fontId="6" fillId="0" borderId="1" xfId="0" applyNumberFormat="1" applyFont="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'Double Exp.Smoothing (FIT)'!$B$1</c:f>
              <c:strCache>
                <c:ptCount val="1"/>
                <c:pt idx="0">
                  <c:v>Actual demand</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xVal>
            <c:numRef>
              <c:f>'Double Exp.Smoothing (FIT)'!$A$2:$A$10</c:f>
              <c:numCache>
                <c:formatCode>General</c:formatCode>
                <c:ptCount val="9"/>
                <c:pt idx="0">
                  <c:v>1</c:v>
                </c:pt>
                <c:pt idx="1">
                  <c:v>2</c:v>
                </c:pt>
                <c:pt idx="2">
                  <c:v>3</c:v>
                </c:pt>
                <c:pt idx="3">
                  <c:v>4</c:v>
                </c:pt>
                <c:pt idx="4">
                  <c:v>5</c:v>
                </c:pt>
                <c:pt idx="5">
                  <c:v>6</c:v>
                </c:pt>
                <c:pt idx="6">
                  <c:v>7</c:v>
                </c:pt>
                <c:pt idx="7">
                  <c:v>8</c:v>
                </c:pt>
                <c:pt idx="8">
                  <c:v>9</c:v>
                </c:pt>
              </c:numCache>
            </c:numRef>
          </c:xVal>
          <c:yVal>
            <c:numRef>
              <c:f>'Double Exp.Smoothing (FIT)'!$B$2:$B$10</c:f>
              <c:numCache>
                <c:formatCode>General</c:formatCode>
                <c:ptCount val="9"/>
                <c:pt idx="0">
                  <c:v>12</c:v>
                </c:pt>
                <c:pt idx="1">
                  <c:v>17</c:v>
                </c:pt>
                <c:pt idx="2">
                  <c:v>20</c:v>
                </c:pt>
                <c:pt idx="3">
                  <c:v>19</c:v>
                </c:pt>
                <c:pt idx="4">
                  <c:v>24</c:v>
                </c:pt>
                <c:pt idx="5">
                  <c:v>21</c:v>
                </c:pt>
                <c:pt idx="6">
                  <c:v>31</c:v>
                </c:pt>
                <c:pt idx="7">
                  <c:v>28</c:v>
                </c:pt>
                <c:pt idx="8">
                  <c:v>36</c:v>
                </c:pt>
              </c:numCache>
            </c:numRef>
          </c:yVal>
          <c:smooth val="0"/>
          <c:extLst>
            <c:ext xmlns:c16="http://schemas.microsoft.com/office/drawing/2014/chart" uri="{C3380CC4-5D6E-409C-BE32-E72D297353CC}">
              <c16:uniqueId val="{00000000-4DB4-46E8-8F81-11442DBD29D3}"/>
            </c:ext>
          </c:extLst>
        </c:ser>
        <c:dLbls>
          <c:showLegendKey val="0"/>
          <c:showVal val="0"/>
          <c:showCatName val="0"/>
          <c:showSerName val="0"/>
          <c:showPercent val="0"/>
          <c:showBubbleSize val="0"/>
        </c:dLbls>
        <c:axId val="674460479"/>
        <c:axId val="674471999"/>
      </c:scatterChart>
      <c:valAx>
        <c:axId val="67446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71999"/>
        <c:crosses val="autoZero"/>
        <c:crossBetween val="midCat"/>
      </c:valAx>
      <c:valAx>
        <c:axId val="67447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60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Projection'!$B$1</c:f>
              <c:strCache>
                <c:ptCount val="1"/>
                <c:pt idx="0">
                  <c:v>Demand(Y)</c:v>
                </c:pt>
              </c:strCache>
            </c:strRef>
          </c:tx>
          <c:spPr>
            <a:ln w="19050" cap="rnd">
              <a:solidFill>
                <a:schemeClr val="accent1"/>
              </a:solidFill>
              <a:round/>
            </a:ln>
            <a:effectLst/>
          </c:spPr>
          <c:marker>
            <c:symbol val="none"/>
          </c:marker>
          <c:xVal>
            <c:numRef>
              <c:f>'Trend Projection'!$A$2:$A$8</c:f>
              <c:numCache>
                <c:formatCode>General</c:formatCode>
                <c:ptCount val="7"/>
                <c:pt idx="0">
                  <c:v>1</c:v>
                </c:pt>
                <c:pt idx="1">
                  <c:v>2</c:v>
                </c:pt>
                <c:pt idx="2">
                  <c:v>3</c:v>
                </c:pt>
                <c:pt idx="3">
                  <c:v>4</c:v>
                </c:pt>
                <c:pt idx="4">
                  <c:v>5</c:v>
                </c:pt>
                <c:pt idx="5">
                  <c:v>6</c:v>
                </c:pt>
                <c:pt idx="6">
                  <c:v>7</c:v>
                </c:pt>
              </c:numCache>
            </c:numRef>
          </c:xVal>
          <c:yVal>
            <c:numRef>
              <c:f>'Trend Projection'!$B$2:$B$8</c:f>
              <c:numCache>
                <c:formatCode>General</c:formatCode>
                <c:ptCount val="7"/>
                <c:pt idx="0">
                  <c:v>74</c:v>
                </c:pt>
                <c:pt idx="1">
                  <c:v>79</c:v>
                </c:pt>
                <c:pt idx="2">
                  <c:v>80</c:v>
                </c:pt>
                <c:pt idx="3">
                  <c:v>90</c:v>
                </c:pt>
                <c:pt idx="4">
                  <c:v>105</c:v>
                </c:pt>
                <c:pt idx="5">
                  <c:v>142</c:v>
                </c:pt>
                <c:pt idx="6">
                  <c:v>122</c:v>
                </c:pt>
              </c:numCache>
            </c:numRef>
          </c:yVal>
          <c:smooth val="0"/>
          <c:extLst>
            <c:ext xmlns:c16="http://schemas.microsoft.com/office/drawing/2014/chart" uri="{C3380CC4-5D6E-409C-BE32-E72D297353CC}">
              <c16:uniqueId val="{00000000-036A-4532-9870-E67BE1ED5202}"/>
            </c:ext>
          </c:extLst>
        </c:ser>
        <c:dLbls>
          <c:showLegendKey val="0"/>
          <c:showVal val="0"/>
          <c:showCatName val="0"/>
          <c:showSerName val="0"/>
          <c:showPercent val="0"/>
          <c:showBubbleSize val="0"/>
        </c:dLbls>
        <c:axId val="674541599"/>
        <c:axId val="674542559"/>
      </c:scatterChart>
      <c:valAx>
        <c:axId val="67454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42559"/>
        <c:crosses val="autoZero"/>
        <c:crossBetween val="midCat"/>
      </c:valAx>
      <c:valAx>
        <c:axId val="67454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415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Projection 2'!$B$1</c:f>
              <c:strCache>
                <c:ptCount val="1"/>
                <c:pt idx="0">
                  <c:v>NO.of Patients</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xVal>
            <c:numRef>
              <c:f>'Trend Projection 2'!$A$2:$A$11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'Trend Projection 2'!$B$2:$B$11</c:f>
              <c:numCache>
                <c:formatCode>General</c:formatCode>
                <c:ptCount val="10"/>
                <c:pt idx="0">
                  <c:v>36</c:v>
                </c:pt>
                <c:pt idx="1">
                  <c:v>33</c:v>
                </c:pt>
                <c:pt idx="2">
                  <c:v>40</c:v>
                </c:pt>
                <c:pt idx="3">
                  <c:v>41</c:v>
                </c:pt>
                <c:pt idx="4">
                  <c:v>40</c:v>
                </c:pt>
                <c:pt idx="5">
                  <c:v>55</c:v>
                </c:pt>
                <c:pt idx="6">
                  <c:v>60</c:v>
                </c:pt>
                <c:pt idx="7">
                  <c:v>54</c:v>
                </c:pt>
                <c:pt idx="8">
                  <c:v>58</c:v>
                </c:pt>
                <c:pt idx="9">
                  <c:v>61</c:v>
                </c:pt>
              </c:numCache>
            </c:numRef>
          </c:yVal>
          <c:smooth val="0"/>
          <c:extLst>
            <c:ext xmlns:c16="http://schemas.microsoft.com/office/drawing/2014/chart" uri="{C3380CC4-5D6E-409C-BE32-E72D297353CC}">
              <c16:uniqueId val="{00000000-E6C2-40E9-9328-D2C97FF39389}"/>
            </c:ext>
          </c:extLst>
        </c:ser>
        <c:dLbls>
          <c:showLegendKey val="0"/>
          <c:showVal val="0"/>
          <c:showCatName val="0"/>
          <c:showSerName val="0"/>
          <c:showPercent val="0"/>
          <c:showBubbleSize val="0"/>
        </c:dLbls>
        <c:axId val="674539679"/>
        <c:axId val="674515679"/>
      </c:scatterChart>
      <c:valAx>
        <c:axId val="67453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15679"/>
        <c:crosses val="autoZero"/>
        <c:crossBetween val="midCat"/>
      </c:valAx>
      <c:valAx>
        <c:axId val="67451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396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299356</xdr:colOff>
      <xdr:row>1</xdr:row>
      <xdr:rowOff>45357</xdr:rowOff>
    </xdr:from>
    <xdr:to>
      <xdr:col>9</xdr:col>
      <xdr:colOff>68035</xdr:colOff>
      <xdr:row>15</xdr:row>
      <xdr:rowOff>85271</xdr:rowOff>
    </xdr:to>
    <xdr:graphicFrame macro="">
      <xdr:nvGraphicFramePr>
        <xdr:cNvPr id="2" name="Chart 1">
          <a:extLst>
            <a:ext uri="{FF2B5EF4-FFF2-40B4-BE49-F238E27FC236}">
              <a16:creationId xmlns:a16="http://schemas.microsoft.com/office/drawing/2014/main" id="{471985D6-2AA5-5A71-36C6-C063B3B5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476250</xdr:colOff>
      <xdr:row>10</xdr:row>
      <xdr:rowOff>23812</xdr:rowOff>
    </xdr:from>
    <xdr:ext cx="744243" cy="34445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695450" y="1928812"/>
              <a:ext cx="74424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𝑌</m:t>
                    </m:r>
                    <m:r>
                      <a:rPr lang="en-US" sz="1100" b="0" i="1">
                        <a:latin typeface="Cambria Math" panose="02040503050406030204" pitchFamily="18" charset="0"/>
                      </a:rPr>
                      <m:t>=</m:t>
                    </m:r>
                    <m:r>
                      <a:rPr lang="en-US" sz="1100" b="0" i="1">
                        <a:latin typeface="Cambria Math" panose="02040503050406030204" pitchFamily="18" charset="0"/>
                      </a:rPr>
                      <m:t>𝑎</m:t>
                    </m:r>
                    <m:r>
                      <a:rPr lang="en-US" sz="1100" b="0" i="1">
                        <a:latin typeface="Cambria Math" panose="02040503050406030204" pitchFamily="18" charset="0"/>
                      </a:rPr>
                      <m:t>+</m:t>
                    </m:r>
                    <m:r>
                      <a:rPr lang="en-US" sz="1100" b="0" i="1">
                        <a:latin typeface="Cambria Math" panose="02040503050406030204" pitchFamily="18" charset="0"/>
                      </a:rPr>
                      <m:t>𝑏𝑋</m:t>
                    </m:r>
                  </m:oMath>
                </m:oMathPara>
              </a14:m>
              <a:endParaRPr lang="en-US" sz="1100" b="0"/>
            </a:p>
            <a:p>
              <a:endParaRPr lang="en-US" sz="1100"/>
            </a:p>
          </xdr:txBody>
        </xdr:sp>
      </mc:Choice>
      <mc:Fallback xmlns="">
        <xdr:sp macro="" textlink="">
          <xdr:nvSpPr>
            <xdr:cNvPr id="2" name="TextBox 1"/>
            <xdr:cNvSpPr txBox="1"/>
          </xdr:nvSpPr>
          <xdr:spPr>
            <a:xfrm>
              <a:off x="1695450" y="1928812"/>
              <a:ext cx="74424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𝑌=𝑎+𝑏𝑋</a:t>
              </a:r>
              <a:endParaRPr lang="en-US" sz="1100" b="0"/>
            </a:p>
            <a:p>
              <a:endParaRPr lang="en-US" sz="1100"/>
            </a:p>
          </xdr:txBody>
        </xdr:sp>
      </mc:Fallback>
    </mc:AlternateContent>
    <xdr:clientData/>
  </xdr:oneCellAnchor>
  <xdr:oneCellAnchor>
    <xdr:from>
      <xdr:col>9</xdr:col>
      <xdr:colOff>457200</xdr:colOff>
      <xdr:row>9</xdr:row>
      <xdr:rowOff>157162</xdr:rowOff>
    </xdr:from>
    <xdr:ext cx="65" cy="172227"/>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7061200" y="18240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3</xdr:col>
      <xdr:colOff>167408</xdr:colOff>
      <xdr:row>2</xdr:row>
      <xdr:rowOff>109103</xdr:rowOff>
    </xdr:from>
    <xdr:to>
      <xdr:col>10</xdr:col>
      <xdr:colOff>288635</xdr:colOff>
      <xdr:row>17</xdr:row>
      <xdr:rowOff>81394</xdr:rowOff>
    </xdr:to>
    <xdr:graphicFrame macro="">
      <xdr:nvGraphicFramePr>
        <xdr:cNvPr id="4" name="Chart 3">
          <a:extLst>
            <a:ext uri="{FF2B5EF4-FFF2-40B4-BE49-F238E27FC236}">
              <a16:creationId xmlns:a16="http://schemas.microsoft.com/office/drawing/2014/main" id="{F2BD80F6-F307-5A76-A459-EAF88A34E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484188</xdr:colOff>
      <xdr:row>1</xdr:row>
      <xdr:rowOff>147107</xdr:rowOff>
    </xdr:from>
    <xdr:to>
      <xdr:col>10</xdr:col>
      <xdr:colOff>515938</xdr:colOff>
      <xdr:row>16</xdr:row>
      <xdr:rowOff>112182</xdr:rowOff>
    </xdr:to>
    <xdr:graphicFrame macro="">
      <xdr:nvGraphicFramePr>
        <xdr:cNvPr id="2" name="Chart 1">
          <a:extLst>
            <a:ext uri="{FF2B5EF4-FFF2-40B4-BE49-F238E27FC236}">
              <a16:creationId xmlns:a16="http://schemas.microsoft.com/office/drawing/2014/main" id="{D338C526-8474-87E9-F0D5-0F32C0D6E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hmad Hussain AlNasser" id="{DD9D229F-D7CF-4AB8-9F49-D9FC3CA88126}" userId="S::aalnasser@kfupm.edu.sa::9943874e-346e-4d40-bf29-ab12ed6cad8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5" dT="2024-09-06T16:36:52.87" personId="{DD9D229F-D7CF-4AB8-9F49-D9FC3CA88126}" id="{A4642595-E6FD-4A4D-9F86-29EB539BC8A3}">
    <text>This shows that previous period actual demand was given a weight = Alpha, while the previous period forecast was given a weight of 1-alpha.
This implies that: the higher the alpha value, the more weight is given to the most recent actual demand A1 hence it will affect our forecast by the magnitude of this alpha. While the remaining weight (1-Alpha) is given to all previous data points is a decreasing manner (the older the data the lower the weight.
The opposite is true when we assign lower alpha.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4-09-06T16:40:44.40" personId="{DD9D229F-D7CF-4AB8-9F49-D9FC3CA88126}" id="{C067F5A5-7246-4C72-BDAC-746670F7B016}">
    <text>This is an initial forecast for period 1 (given in this problem)</text>
  </threadedComment>
  <threadedComment ref="D2" dT="2024-09-06T16:41:04.13" personId="{DD9D229F-D7CF-4AB8-9F49-D9FC3CA88126}" id="{323AC395-76E4-48E6-923C-F4CE42DBF32E}">
    <text>This is an initial trend value (given in this problem)</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5" zoomScale="130" zoomScaleNormal="130" workbookViewId="0">
      <selection activeCell="G14" sqref="G14"/>
    </sheetView>
  </sheetViews>
  <sheetFormatPr defaultRowHeight="14.5" x14ac:dyDescent="0.35"/>
  <cols>
    <col min="3" max="3" width="16.36328125" customWidth="1"/>
    <col min="4" max="4" width="14.1796875" customWidth="1"/>
    <col min="5" max="5" width="15.26953125" bestFit="1" customWidth="1"/>
    <col min="6" max="6" width="14.453125" bestFit="1" customWidth="1"/>
  </cols>
  <sheetData>
    <row r="1" spans="1:9" x14ac:dyDescent="0.35">
      <c r="A1" s="3" t="s">
        <v>64</v>
      </c>
      <c r="B1" s="3" t="s">
        <v>65</v>
      </c>
      <c r="C1" s="3" t="s">
        <v>66</v>
      </c>
      <c r="D1" s="3" t="s">
        <v>67</v>
      </c>
      <c r="E1" s="3" t="s">
        <v>68</v>
      </c>
      <c r="G1" s="36" t="s">
        <v>78</v>
      </c>
    </row>
    <row r="2" spans="1:9" x14ac:dyDescent="0.35">
      <c r="A2" s="3">
        <v>1</v>
      </c>
      <c r="B2" s="3">
        <v>10</v>
      </c>
      <c r="C2" s="3"/>
      <c r="D2" s="3"/>
      <c r="E2" s="3"/>
      <c r="F2" t="s">
        <v>79</v>
      </c>
      <c r="G2" s="35">
        <v>0.7</v>
      </c>
      <c r="H2">
        <v>0.1</v>
      </c>
      <c r="I2">
        <v>10</v>
      </c>
    </row>
    <row r="3" spans="1:9" x14ac:dyDescent="0.35">
      <c r="A3" s="3">
        <v>2</v>
      </c>
      <c r="B3" s="3">
        <v>9</v>
      </c>
      <c r="C3" s="22"/>
      <c r="D3" s="3"/>
      <c r="E3" s="3"/>
      <c r="F3" t="s">
        <v>80</v>
      </c>
      <c r="G3" s="35">
        <v>0.2</v>
      </c>
      <c r="H3">
        <v>0.2</v>
      </c>
      <c r="I3">
        <v>5</v>
      </c>
    </row>
    <row r="4" spans="1:9" x14ac:dyDescent="0.35">
      <c r="A4" s="3">
        <v>3</v>
      </c>
      <c r="B4" s="3">
        <v>7</v>
      </c>
      <c r="C4" s="22">
        <f>AVERAGE($B$2:B3)</f>
        <v>9.5</v>
      </c>
      <c r="D4" s="3"/>
      <c r="E4" s="3"/>
      <c r="F4" t="s">
        <v>81</v>
      </c>
      <c r="G4" s="35">
        <v>0.1</v>
      </c>
      <c r="H4">
        <v>0.7</v>
      </c>
      <c r="I4">
        <v>3</v>
      </c>
    </row>
    <row r="5" spans="1:9" x14ac:dyDescent="0.35">
      <c r="A5" s="3">
        <v>4</v>
      </c>
      <c r="B5" s="3">
        <v>8</v>
      </c>
      <c r="C5" s="22">
        <f>AVERAGE($B$2:B4)</f>
        <v>8.6666666666666661</v>
      </c>
      <c r="D5" s="30">
        <f>AVERAGE(B2:B4)</f>
        <v>8.6666666666666661</v>
      </c>
      <c r="E5" s="3">
        <f>($G$2*B4+$G$3*B3+$G$4*B2)</f>
        <v>7.6999999999999993</v>
      </c>
    </row>
    <row r="6" spans="1:9" x14ac:dyDescent="0.35">
      <c r="A6" s="3">
        <v>5</v>
      </c>
      <c r="B6" s="3">
        <v>10</v>
      </c>
      <c r="C6" s="22">
        <f>AVERAGE($B$2:B5)</f>
        <v>8.5</v>
      </c>
      <c r="D6" s="30">
        <f t="shared" ref="D6:D22" si="0">AVERAGE(B3:B5)</f>
        <v>8</v>
      </c>
      <c r="E6" s="3">
        <f t="shared" ref="E6:E22" si="1">($G$2*B5+$G$3*B4+$G$4*B3)</f>
        <v>7.9</v>
      </c>
    </row>
    <row r="7" spans="1:9" x14ac:dyDescent="0.35">
      <c r="A7" s="3">
        <v>6</v>
      </c>
      <c r="B7" s="3">
        <v>9</v>
      </c>
      <c r="C7" s="22">
        <f>AVERAGE($B$2:B6)</f>
        <v>8.8000000000000007</v>
      </c>
      <c r="D7" s="30">
        <f t="shared" si="0"/>
        <v>8.3333333333333339</v>
      </c>
      <c r="E7" s="3">
        <f t="shared" si="1"/>
        <v>9.2999999999999989</v>
      </c>
    </row>
    <row r="8" spans="1:9" x14ac:dyDescent="0.35">
      <c r="A8" s="3">
        <v>7</v>
      </c>
      <c r="B8" s="3">
        <v>10</v>
      </c>
      <c r="C8" s="22">
        <f>AVERAGE($B$2:B7)</f>
        <v>8.8333333333333339</v>
      </c>
      <c r="D8" s="30">
        <f t="shared" si="0"/>
        <v>9</v>
      </c>
      <c r="E8" s="3">
        <f t="shared" si="1"/>
        <v>9.1000000000000014</v>
      </c>
    </row>
    <row r="9" spans="1:9" x14ac:dyDescent="0.35">
      <c r="A9" s="3">
        <v>8</v>
      </c>
      <c r="B9" s="3">
        <v>7</v>
      </c>
      <c r="C9" s="22">
        <f>AVERAGE($B$2:B8)</f>
        <v>9</v>
      </c>
      <c r="D9" s="30">
        <f t="shared" si="0"/>
        <v>9.6666666666666661</v>
      </c>
      <c r="E9" s="3">
        <f t="shared" si="1"/>
        <v>9.8000000000000007</v>
      </c>
    </row>
    <row r="10" spans="1:9" x14ac:dyDescent="0.35">
      <c r="A10" s="3">
        <v>9</v>
      </c>
      <c r="B10" s="3">
        <v>8</v>
      </c>
      <c r="C10" s="22">
        <f>AVERAGE($B$2:B9)</f>
        <v>8.75</v>
      </c>
      <c r="D10" s="30">
        <f t="shared" si="0"/>
        <v>8.6666666666666661</v>
      </c>
      <c r="E10" s="3">
        <f t="shared" si="1"/>
        <v>7.8</v>
      </c>
    </row>
    <row r="11" spans="1:9" x14ac:dyDescent="0.35">
      <c r="A11" s="3">
        <v>10</v>
      </c>
      <c r="B11" s="3">
        <v>9</v>
      </c>
      <c r="C11" s="22">
        <f>AVERAGE($B$2:B10)</f>
        <v>8.6666666666666661</v>
      </c>
      <c r="D11" s="30">
        <f t="shared" si="0"/>
        <v>8.3333333333333339</v>
      </c>
      <c r="E11" s="3">
        <f t="shared" si="1"/>
        <v>8</v>
      </c>
    </row>
    <row r="12" spans="1:9" x14ac:dyDescent="0.35">
      <c r="A12" s="3">
        <v>11</v>
      </c>
      <c r="B12" s="3">
        <v>14</v>
      </c>
      <c r="C12" s="22">
        <f>AVERAGE($B$2:B11)</f>
        <v>8.6999999999999993</v>
      </c>
      <c r="D12" s="30">
        <f t="shared" si="0"/>
        <v>8</v>
      </c>
      <c r="E12" s="3">
        <f t="shared" si="1"/>
        <v>8.6</v>
      </c>
    </row>
    <row r="13" spans="1:9" x14ac:dyDescent="0.35">
      <c r="A13" s="4">
        <v>12</v>
      </c>
      <c r="B13" s="4">
        <v>16</v>
      </c>
      <c r="C13" s="7">
        <f>AVERAGE($B$2:B12)</f>
        <v>9.1818181818181817</v>
      </c>
      <c r="D13" s="30">
        <f>AVERAGE(B10:B12)</f>
        <v>10.333333333333334</v>
      </c>
      <c r="E13" s="3">
        <f t="shared" si="1"/>
        <v>12.4</v>
      </c>
    </row>
    <row r="14" spans="1:9" x14ac:dyDescent="0.35">
      <c r="A14" s="3">
        <v>13</v>
      </c>
      <c r="B14" s="3">
        <v>17</v>
      </c>
      <c r="C14" s="22">
        <f>AVERAGE($B$2:B13)</f>
        <v>9.75</v>
      </c>
      <c r="D14" s="30">
        <f t="shared" si="0"/>
        <v>13</v>
      </c>
      <c r="E14" s="3">
        <f t="shared" si="1"/>
        <v>14.9</v>
      </c>
    </row>
    <row r="15" spans="1:9" x14ac:dyDescent="0.35">
      <c r="A15" s="3">
        <v>14</v>
      </c>
      <c r="B15" s="3">
        <v>17</v>
      </c>
      <c r="C15" s="22">
        <f>AVERAGE($B$2:B14)</f>
        <v>10.307692307692308</v>
      </c>
      <c r="D15" s="30">
        <f t="shared" si="0"/>
        <v>15.666666666666666</v>
      </c>
      <c r="E15" s="3">
        <f t="shared" si="1"/>
        <v>16.499999999999996</v>
      </c>
    </row>
    <row r="16" spans="1:9" x14ac:dyDescent="0.35">
      <c r="A16" s="3">
        <v>15</v>
      </c>
      <c r="B16" s="3">
        <v>20</v>
      </c>
      <c r="C16" s="22">
        <f>AVERAGE($B$2:B15)</f>
        <v>10.785714285714286</v>
      </c>
      <c r="D16" s="30">
        <f t="shared" si="0"/>
        <v>16.666666666666668</v>
      </c>
      <c r="E16" s="3">
        <f t="shared" si="1"/>
        <v>16.899999999999999</v>
      </c>
    </row>
    <row r="17" spans="1:5" x14ac:dyDescent="0.35">
      <c r="A17" s="3">
        <v>16</v>
      </c>
      <c r="B17" s="3">
        <v>22</v>
      </c>
      <c r="C17" s="22">
        <f>AVERAGE($B$2:B16)</f>
        <v>11.4</v>
      </c>
      <c r="D17" s="30">
        <f t="shared" si="0"/>
        <v>18</v>
      </c>
      <c r="E17" s="3">
        <f t="shared" si="1"/>
        <v>19.099999999999998</v>
      </c>
    </row>
    <row r="18" spans="1:5" x14ac:dyDescent="0.35">
      <c r="A18" s="3">
        <v>17</v>
      </c>
      <c r="B18" s="3">
        <v>25</v>
      </c>
      <c r="C18" s="22">
        <f>AVERAGE($B$2:B17)</f>
        <v>12.0625</v>
      </c>
      <c r="D18" s="30">
        <f t="shared" si="0"/>
        <v>19.666666666666668</v>
      </c>
      <c r="E18" s="3">
        <f t="shared" si="1"/>
        <v>21.099999999999998</v>
      </c>
    </row>
    <row r="19" spans="1:5" x14ac:dyDescent="0.35">
      <c r="A19" s="3">
        <v>18</v>
      </c>
      <c r="B19" s="3">
        <v>26</v>
      </c>
      <c r="C19" s="22">
        <f>AVERAGE($B$2:B18)</f>
        <v>12.823529411764707</v>
      </c>
      <c r="D19" s="30">
        <f t="shared" si="0"/>
        <v>22.333333333333332</v>
      </c>
      <c r="E19" s="3">
        <f t="shared" si="1"/>
        <v>23.9</v>
      </c>
    </row>
    <row r="20" spans="1:5" x14ac:dyDescent="0.35">
      <c r="A20" s="3">
        <v>19</v>
      </c>
      <c r="B20" s="3">
        <v>27</v>
      </c>
      <c r="C20" s="22">
        <f>AVERAGE($B$2:B19)</f>
        <v>13.555555555555555</v>
      </c>
      <c r="D20" s="30">
        <f t="shared" si="0"/>
        <v>24.333333333333332</v>
      </c>
      <c r="E20" s="3">
        <f t="shared" si="1"/>
        <v>25.4</v>
      </c>
    </row>
    <row r="21" spans="1:5" x14ac:dyDescent="0.35">
      <c r="A21" s="3">
        <v>20</v>
      </c>
      <c r="B21" s="3">
        <v>26</v>
      </c>
      <c r="C21" s="22">
        <f>AVERAGE($B$2:B20)</f>
        <v>14.263157894736842</v>
      </c>
      <c r="D21" s="30">
        <f t="shared" si="0"/>
        <v>26</v>
      </c>
      <c r="E21" s="3">
        <f t="shared" si="1"/>
        <v>26.599999999999998</v>
      </c>
    </row>
    <row r="22" spans="1:5" x14ac:dyDescent="0.35">
      <c r="A22" s="10">
        <v>21</v>
      </c>
      <c r="C22" s="22">
        <f>AVERAGE($B$2:B21)</f>
        <v>14.85</v>
      </c>
      <c r="D22" s="30">
        <f t="shared" si="0"/>
        <v>26.333333333333332</v>
      </c>
      <c r="E22" s="3">
        <f t="shared" si="1"/>
        <v>26.200000000000003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4282-BBE8-4BCD-BDDD-53845C4332BB}">
  <dimension ref="A1:L16"/>
  <sheetViews>
    <sheetView zoomScale="150" zoomScaleNormal="150" workbookViewId="0">
      <pane xSplit="2" topLeftCell="C1" activePane="topRight" state="frozen"/>
      <selection pane="topRight" activeCell="C4" sqref="C4"/>
    </sheetView>
  </sheetViews>
  <sheetFormatPr defaultRowHeight="14.5" x14ac:dyDescent="0.35"/>
  <cols>
    <col min="3" max="4" width="13.81640625" bestFit="1" customWidth="1"/>
    <col min="5" max="5" width="26" bestFit="1" customWidth="1"/>
    <col min="6" max="6" width="13.81640625" customWidth="1"/>
    <col min="7" max="8" width="23.7265625" customWidth="1"/>
    <col min="9" max="9" width="22.54296875" bestFit="1" customWidth="1"/>
    <col min="10" max="10" width="19.7265625" bestFit="1" customWidth="1"/>
    <col min="11" max="12" width="22.1796875" bestFit="1" customWidth="1"/>
    <col min="2000" max="2000" width="2.453125" customWidth="1"/>
  </cols>
  <sheetData>
    <row r="1" spans="1:12" x14ac:dyDescent="0.35">
      <c r="A1" s="3" t="s">
        <v>2</v>
      </c>
      <c r="B1" s="3" t="s">
        <v>3</v>
      </c>
      <c r="C1" s="2" t="s">
        <v>6</v>
      </c>
      <c r="D1" s="3" t="s">
        <v>7</v>
      </c>
      <c r="E1" s="3" t="s">
        <v>75</v>
      </c>
      <c r="F1" s="6"/>
      <c r="G1" s="6"/>
      <c r="H1" s="6"/>
      <c r="I1" s="6"/>
      <c r="J1" s="6"/>
      <c r="K1" s="6"/>
      <c r="L1" s="6"/>
    </row>
    <row r="2" spans="1:12" x14ac:dyDescent="0.35">
      <c r="A2" s="3">
        <v>1</v>
      </c>
      <c r="B2" s="3">
        <v>180</v>
      </c>
      <c r="C2" s="26">
        <v>175</v>
      </c>
      <c r="D2" s="27">
        <v>175</v>
      </c>
      <c r="E2" s="29">
        <v>175</v>
      </c>
      <c r="F2" s="6"/>
      <c r="G2" s="6"/>
      <c r="H2" s="6"/>
      <c r="I2" s="6"/>
      <c r="J2" s="6"/>
      <c r="K2" s="6"/>
      <c r="L2" s="6"/>
    </row>
    <row r="3" spans="1:12" x14ac:dyDescent="0.35">
      <c r="A3" s="3">
        <v>2</v>
      </c>
      <c r="B3" s="3">
        <v>168</v>
      </c>
      <c r="C3" s="26">
        <f>C2+$B$12*(B2-C2)</f>
        <v>175.5</v>
      </c>
      <c r="D3" s="27">
        <f>D2+$B$13*(B2-D2)</f>
        <v>177.5</v>
      </c>
      <c r="E3" s="30">
        <f>E2+$B$14*(B2-E2)</f>
        <v>179</v>
      </c>
      <c r="F3" s="6"/>
      <c r="G3" s="6"/>
      <c r="H3" s="6"/>
      <c r="I3" s="6"/>
      <c r="J3" s="6"/>
      <c r="K3" s="6"/>
      <c r="L3" s="6"/>
    </row>
    <row r="4" spans="1:12" x14ac:dyDescent="0.35">
      <c r="A4" s="3">
        <v>3</v>
      </c>
      <c r="B4" s="3">
        <v>159</v>
      </c>
      <c r="C4" s="26">
        <f t="shared" ref="C4:C9" si="0">C3+$B$12*(B3-C3)</f>
        <v>174.75</v>
      </c>
      <c r="D4" s="27">
        <f t="shared" ref="D4:D9" si="1">D3+$B$13*(B3-D3)</f>
        <v>172.75</v>
      </c>
      <c r="E4" s="30">
        <f t="shared" ref="E4:E9" si="2">E3+$B$14*(B3-E3)</f>
        <v>170.2</v>
      </c>
      <c r="F4" s="6"/>
      <c r="G4" s="6"/>
      <c r="H4" s="6"/>
      <c r="I4" s="6"/>
      <c r="J4" s="6"/>
      <c r="K4" s="6"/>
      <c r="L4" s="6"/>
    </row>
    <row r="5" spans="1:12" x14ac:dyDescent="0.35">
      <c r="A5" s="3">
        <v>4</v>
      </c>
      <c r="B5" s="3">
        <v>175</v>
      </c>
      <c r="C5" s="26">
        <f t="shared" si="0"/>
        <v>173.17500000000001</v>
      </c>
      <c r="D5" s="27">
        <f t="shared" si="1"/>
        <v>165.875</v>
      </c>
      <c r="E5" s="30">
        <f t="shared" si="2"/>
        <v>161.24</v>
      </c>
      <c r="F5" s="6"/>
      <c r="G5" s="6"/>
      <c r="H5" s="6"/>
      <c r="I5" s="6"/>
      <c r="J5" s="6"/>
      <c r="K5" s="6"/>
      <c r="L5" s="6"/>
    </row>
    <row r="6" spans="1:12" x14ac:dyDescent="0.35">
      <c r="A6" s="3">
        <v>5</v>
      </c>
      <c r="B6" s="3">
        <v>190</v>
      </c>
      <c r="C6" s="26">
        <f t="shared" si="0"/>
        <v>173.35750000000002</v>
      </c>
      <c r="D6" s="27">
        <f t="shared" si="1"/>
        <v>170.4375</v>
      </c>
      <c r="E6" s="30">
        <f t="shared" si="2"/>
        <v>172.24799999999999</v>
      </c>
      <c r="F6" s="6"/>
      <c r="G6" s="6"/>
      <c r="H6" s="6"/>
      <c r="I6" s="6"/>
      <c r="J6" s="6"/>
      <c r="K6" s="6"/>
      <c r="L6" s="6"/>
    </row>
    <row r="7" spans="1:12" x14ac:dyDescent="0.35">
      <c r="A7" s="3">
        <v>6</v>
      </c>
      <c r="B7" s="3">
        <v>205</v>
      </c>
      <c r="C7" s="26">
        <f t="shared" si="0"/>
        <v>175.02175000000003</v>
      </c>
      <c r="D7" s="27">
        <f t="shared" si="1"/>
        <v>180.21875</v>
      </c>
      <c r="E7" s="30">
        <f t="shared" si="2"/>
        <v>186.4496</v>
      </c>
      <c r="F7" s="6"/>
      <c r="G7" s="6"/>
      <c r="H7" s="6"/>
      <c r="I7" s="6"/>
      <c r="J7" s="6"/>
      <c r="K7" s="6"/>
      <c r="L7" s="6"/>
    </row>
    <row r="8" spans="1:12" x14ac:dyDescent="0.35">
      <c r="A8" s="3">
        <v>7</v>
      </c>
      <c r="B8" s="3">
        <v>180</v>
      </c>
      <c r="C8" s="26">
        <f t="shared" si="0"/>
        <v>178.01957500000003</v>
      </c>
      <c r="D8" s="27">
        <f t="shared" si="1"/>
        <v>192.609375</v>
      </c>
      <c r="E8" s="30">
        <f t="shared" si="2"/>
        <v>201.28992</v>
      </c>
      <c r="F8" s="6"/>
      <c r="G8" s="6"/>
      <c r="H8" s="6"/>
      <c r="I8" s="6"/>
      <c r="J8" s="6"/>
      <c r="K8" s="6"/>
      <c r="L8" s="6"/>
    </row>
    <row r="9" spans="1:12" x14ac:dyDescent="0.35">
      <c r="A9" s="3">
        <v>8</v>
      </c>
      <c r="B9" s="3">
        <v>182</v>
      </c>
      <c r="C9" s="26">
        <f t="shared" si="0"/>
        <v>178.21761750000002</v>
      </c>
      <c r="D9" s="27">
        <f t="shared" si="1"/>
        <v>186.3046875</v>
      </c>
      <c r="E9" s="30">
        <f t="shared" si="2"/>
        <v>184.25798399999999</v>
      </c>
      <c r="F9" s="6"/>
      <c r="G9" s="6"/>
      <c r="H9" s="6"/>
      <c r="I9" s="6"/>
      <c r="J9" s="6"/>
      <c r="K9" s="6"/>
      <c r="L9" s="6"/>
    </row>
    <row r="10" spans="1:12" x14ac:dyDescent="0.35">
      <c r="A10" s="3">
        <v>9</v>
      </c>
      <c r="B10" s="4"/>
      <c r="C10" s="26"/>
      <c r="D10" s="27"/>
      <c r="E10" s="30"/>
      <c r="F10" s="28"/>
      <c r="G10" s="6"/>
      <c r="H10" s="6"/>
      <c r="I10" s="6"/>
      <c r="J10" s="6"/>
      <c r="K10" s="29"/>
      <c r="L10" s="29"/>
    </row>
    <row r="11" spans="1:12" x14ac:dyDescent="0.35">
      <c r="C11" s="2"/>
      <c r="D11" s="3"/>
      <c r="E11" s="28"/>
      <c r="F11" s="28"/>
      <c r="G11" s="6"/>
      <c r="H11" s="6"/>
      <c r="I11" s="6"/>
      <c r="J11" s="6"/>
      <c r="K11" s="6"/>
      <c r="L11" s="6"/>
    </row>
    <row r="12" spans="1:12" x14ac:dyDescent="0.35">
      <c r="A12" t="s">
        <v>5</v>
      </c>
      <c r="B12">
        <v>0.1</v>
      </c>
      <c r="D12" s="23" t="s">
        <v>74</v>
      </c>
      <c r="E12" t="s">
        <v>71</v>
      </c>
    </row>
    <row r="13" spans="1:12" x14ac:dyDescent="0.35">
      <c r="B13">
        <v>0.5</v>
      </c>
      <c r="D13" s="23" t="s">
        <v>90</v>
      </c>
      <c r="E13" t="s">
        <v>91</v>
      </c>
    </row>
    <row r="14" spans="1:12" x14ac:dyDescent="0.35">
      <c r="B14">
        <v>0.8</v>
      </c>
      <c r="E14" t="s">
        <v>72</v>
      </c>
    </row>
    <row r="15" spans="1:12" x14ac:dyDescent="0.35">
      <c r="E15" s="1" t="s">
        <v>73</v>
      </c>
    </row>
    <row r="16" spans="1:12" x14ac:dyDescent="0.35">
      <c r="A16" s="35">
        <v>0</v>
      </c>
      <c r="B16" s="35" t="s">
        <v>5</v>
      </c>
      <c r="C16" s="35">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zoomScale="145" zoomScaleNormal="145" workbookViewId="0">
      <pane xSplit="2" topLeftCell="J1" activePane="topRight" state="frozen"/>
      <selection pane="topRight" activeCell="L2" sqref="L2"/>
    </sheetView>
  </sheetViews>
  <sheetFormatPr defaultRowHeight="14.5" x14ac:dyDescent="0.35"/>
  <cols>
    <col min="3" max="5" width="13.81640625" bestFit="1" customWidth="1"/>
    <col min="6" max="6" width="13.81640625" customWidth="1"/>
    <col min="7" max="8" width="23.7265625" bestFit="1" customWidth="1"/>
    <col min="9" max="9" width="22.54296875" bestFit="1" customWidth="1"/>
    <col min="10" max="10" width="19.7265625" bestFit="1" customWidth="1"/>
    <col min="11" max="12" width="22.1796875" bestFit="1" customWidth="1"/>
    <col min="2000" max="2000" width="2.453125" customWidth="1"/>
  </cols>
  <sheetData>
    <row r="1" spans="1:13" x14ac:dyDescent="0.35">
      <c r="A1" s="3" t="s">
        <v>2</v>
      </c>
      <c r="B1" s="3" t="s">
        <v>3</v>
      </c>
      <c r="C1" s="2" t="s">
        <v>6</v>
      </c>
      <c r="D1" s="3" t="s">
        <v>7</v>
      </c>
      <c r="E1" s="2" t="s">
        <v>8</v>
      </c>
      <c r="F1" s="3" t="s">
        <v>9</v>
      </c>
      <c r="G1" s="2" t="s">
        <v>10</v>
      </c>
      <c r="H1" s="3" t="s">
        <v>11</v>
      </c>
      <c r="I1" s="2" t="s">
        <v>12</v>
      </c>
      <c r="J1" s="3" t="s">
        <v>13</v>
      </c>
      <c r="K1" s="2" t="s">
        <v>18</v>
      </c>
      <c r="L1" s="3" t="s">
        <v>19</v>
      </c>
      <c r="M1" s="40"/>
    </row>
    <row r="2" spans="1:13" x14ac:dyDescent="0.35">
      <c r="A2" s="3">
        <v>1</v>
      </c>
      <c r="B2" s="3">
        <v>180</v>
      </c>
      <c r="C2" s="37">
        <v>175</v>
      </c>
      <c r="D2" s="30">
        <v>175</v>
      </c>
      <c r="E2" s="37">
        <f>B2-C2</f>
        <v>5</v>
      </c>
      <c r="F2" s="30">
        <f>B2-D2</f>
        <v>5</v>
      </c>
      <c r="G2" s="37">
        <f>ABS(E2)</f>
        <v>5</v>
      </c>
      <c r="H2" s="30">
        <f>ABS(F2)</f>
        <v>5</v>
      </c>
      <c r="I2" s="37">
        <f>E2*E2</f>
        <v>25</v>
      </c>
      <c r="J2" s="38">
        <f>F2*F2</f>
        <v>25</v>
      </c>
      <c r="K2" s="41">
        <f>(G2/B2)</f>
        <v>2.7777777777777776E-2</v>
      </c>
      <c r="L2" s="41">
        <f>H2/B2</f>
        <v>2.7777777777777776E-2</v>
      </c>
      <c r="M2" s="43"/>
    </row>
    <row r="3" spans="1:13" x14ac:dyDescent="0.35">
      <c r="A3" s="3">
        <v>2</v>
      </c>
      <c r="B3" s="3">
        <v>168</v>
      </c>
      <c r="C3" s="37">
        <f>C2+$B$12*(B2-C2)</f>
        <v>175.5</v>
      </c>
      <c r="D3" s="30">
        <f>D2+$B$13*(B2-D2)</f>
        <v>177.5</v>
      </c>
      <c r="E3" s="37">
        <f t="shared" ref="E3:E9" si="0">B3-C3</f>
        <v>-7.5</v>
      </c>
      <c r="F3" s="30">
        <f t="shared" ref="F3:F9" si="1">B3-D3</f>
        <v>-9.5</v>
      </c>
      <c r="G3" s="37">
        <f t="shared" ref="G3:G9" si="2">ABS(E3)</f>
        <v>7.5</v>
      </c>
      <c r="H3" s="30">
        <f t="shared" ref="H3:H9" si="3">ABS(F3)</f>
        <v>9.5</v>
      </c>
      <c r="I3" s="37">
        <f t="shared" ref="I3:I9" si="4">E3*E3</f>
        <v>56.25</v>
      </c>
      <c r="J3" s="38">
        <f t="shared" ref="J3:J9" si="5">F3*F3</f>
        <v>90.25</v>
      </c>
      <c r="K3" s="41">
        <f t="shared" ref="K3:K9" si="6">(G3/B3)</f>
        <v>4.4642857142857144E-2</v>
      </c>
      <c r="L3" s="41">
        <f t="shared" ref="L3:L9" si="7">H3/B3</f>
        <v>5.6547619047619048E-2</v>
      </c>
      <c r="M3" s="43"/>
    </row>
    <row r="4" spans="1:13" x14ac:dyDescent="0.35">
      <c r="A4" s="3">
        <v>3</v>
      </c>
      <c r="B4" s="3">
        <v>159</v>
      </c>
      <c r="C4" s="37">
        <f t="shared" ref="C4:C9" si="8">C3+$B$12*(B3-C3)</f>
        <v>174.75</v>
      </c>
      <c r="D4" s="30">
        <f t="shared" ref="D4:D9" si="9">D3+$B$13*(B3-D3)</f>
        <v>172.75</v>
      </c>
      <c r="E4" s="37">
        <f t="shared" si="0"/>
        <v>-15.75</v>
      </c>
      <c r="F4" s="30">
        <f t="shared" si="1"/>
        <v>-13.75</v>
      </c>
      <c r="G4" s="37">
        <f t="shared" si="2"/>
        <v>15.75</v>
      </c>
      <c r="H4" s="30">
        <f t="shared" si="3"/>
        <v>13.75</v>
      </c>
      <c r="I4" s="37">
        <f t="shared" si="4"/>
        <v>248.0625</v>
      </c>
      <c r="J4" s="38">
        <f t="shared" si="5"/>
        <v>189.0625</v>
      </c>
      <c r="K4" s="41">
        <f t="shared" si="6"/>
        <v>9.9056603773584911E-2</v>
      </c>
      <c r="L4" s="41">
        <f t="shared" si="7"/>
        <v>8.6477987421383642E-2</v>
      </c>
      <c r="M4" s="43"/>
    </row>
    <row r="5" spans="1:13" x14ac:dyDescent="0.35">
      <c r="A5" s="3">
        <v>4</v>
      </c>
      <c r="B5" s="3">
        <v>175</v>
      </c>
      <c r="C5" s="37">
        <f t="shared" si="8"/>
        <v>173.17500000000001</v>
      </c>
      <c r="D5" s="30">
        <f t="shared" si="9"/>
        <v>165.875</v>
      </c>
      <c r="E5" s="37">
        <f t="shared" si="0"/>
        <v>1.8249999999999886</v>
      </c>
      <c r="F5" s="30">
        <f t="shared" si="1"/>
        <v>9.125</v>
      </c>
      <c r="G5" s="37">
        <f t="shared" si="2"/>
        <v>1.8249999999999886</v>
      </c>
      <c r="H5" s="30">
        <f t="shared" si="3"/>
        <v>9.125</v>
      </c>
      <c r="I5" s="37">
        <f t="shared" si="4"/>
        <v>3.3306249999999586</v>
      </c>
      <c r="J5" s="38">
        <f t="shared" si="5"/>
        <v>83.265625</v>
      </c>
      <c r="K5" s="41">
        <f t="shared" si="6"/>
        <v>1.0428571428571363E-2</v>
      </c>
      <c r="L5" s="41">
        <f t="shared" si="7"/>
        <v>5.2142857142857144E-2</v>
      </c>
      <c r="M5" s="43"/>
    </row>
    <row r="6" spans="1:13" x14ac:dyDescent="0.35">
      <c r="A6" s="3">
        <v>5</v>
      </c>
      <c r="B6" s="3">
        <v>190</v>
      </c>
      <c r="C6" s="37">
        <f t="shared" si="8"/>
        <v>173.35750000000002</v>
      </c>
      <c r="D6" s="30">
        <f t="shared" si="9"/>
        <v>170.4375</v>
      </c>
      <c r="E6" s="37">
        <f t="shared" si="0"/>
        <v>16.642499999999984</v>
      </c>
      <c r="F6" s="30">
        <f t="shared" si="1"/>
        <v>19.5625</v>
      </c>
      <c r="G6" s="37">
        <f t="shared" si="2"/>
        <v>16.642499999999984</v>
      </c>
      <c r="H6" s="30">
        <f t="shared" si="3"/>
        <v>19.5625</v>
      </c>
      <c r="I6" s="37">
        <f t="shared" si="4"/>
        <v>276.97280624999945</v>
      </c>
      <c r="J6" s="38">
        <f t="shared" si="5"/>
        <v>382.69140625</v>
      </c>
      <c r="K6" s="41">
        <f t="shared" si="6"/>
        <v>8.7592105263157805E-2</v>
      </c>
      <c r="L6" s="41">
        <f t="shared" si="7"/>
        <v>0.10296052631578947</v>
      </c>
      <c r="M6" s="43"/>
    </row>
    <row r="7" spans="1:13" x14ac:dyDescent="0.35">
      <c r="A7" s="3">
        <v>6</v>
      </c>
      <c r="B7" s="3">
        <v>205</v>
      </c>
      <c r="C7" s="37">
        <f t="shared" si="8"/>
        <v>175.02175000000003</v>
      </c>
      <c r="D7" s="30">
        <f t="shared" si="9"/>
        <v>180.21875</v>
      </c>
      <c r="E7" s="37">
        <f t="shared" si="0"/>
        <v>29.978249999999974</v>
      </c>
      <c r="F7" s="30">
        <f t="shared" si="1"/>
        <v>24.78125</v>
      </c>
      <c r="G7" s="37">
        <f t="shared" si="2"/>
        <v>29.978249999999974</v>
      </c>
      <c r="H7" s="30">
        <f t="shared" si="3"/>
        <v>24.78125</v>
      </c>
      <c r="I7" s="37">
        <f t="shared" si="4"/>
        <v>898.69547306249842</v>
      </c>
      <c r="J7" s="38">
        <f t="shared" si="5"/>
        <v>614.1103515625</v>
      </c>
      <c r="K7" s="41">
        <f t="shared" si="6"/>
        <v>0.1462353658536584</v>
      </c>
      <c r="L7" s="41">
        <f t="shared" si="7"/>
        <v>0.12088414634146341</v>
      </c>
      <c r="M7" s="43"/>
    </row>
    <row r="8" spans="1:13" x14ac:dyDescent="0.35">
      <c r="A8" s="3">
        <v>7</v>
      </c>
      <c r="B8" s="3">
        <v>180</v>
      </c>
      <c r="C8" s="37">
        <f t="shared" si="8"/>
        <v>178.01957500000003</v>
      </c>
      <c r="D8" s="30">
        <f t="shared" si="9"/>
        <v>192.609375</v>
      </c>
      <c r="E8" s="37">
        <f t="shared" si="0"/>
        <v>1.9804249999999683</v>
      </c>
      <c r="F8" s="30">
        <f t="shared" si="1"/>
        <v>-12.609375</v>
      </c>
      <c r="G8" s="37">
        <f t="shared" si="2"/>
        <v>1.9804249999999683</v>
      </c>
      <c r="H8" s="30">
        <f t="shared" si="3"/>
        <v>12.609375</v>
      </c>
      <c r="I8" s="37">
        <f t="shared" si="4"/>
        <v>3.9220831806248748</v>
      </c>
      <c r="J8" s="38">
        <f t="shared" si="5"/>
        <v>158.996337890625</v>
      </c>
      <c r="K8" s="41">
        <f t="shared" si="6"/>
        <v>1.1002361111110935E-2</v>
      </c>
      <c r="L8" s="41">
        <f t="shared" si="7"/>
        <v>7.0052083333333334E-2</v>
      </c>
      <c r="M8" s="43"/>
    </row>
    <row r="9" spans="1:13" x14ac:dyDescent="0.35">
      <c r="A9" s="3">
        <v>8</v>
      </c>
      <c r="B9" s="3">
        <v>182</v>
      </c>
      <c r="C9" s="37">
        <f t="shared" si="8"/>
        <v>178.21761750000002</v>
      </c>
      <c r="D9" s="30">
        <f t="shared" si="9"/>
        <v>186.3046875</v>
      </c>
      <c r="E9" s="37">
        <f t="shared" si="0"/>
        <v>3.7823824999999829</v>
      </c>
      <c r="F9" s="30">
        <f t="shared" si="1"/>
        <v>-4.3046875</v>
      </c>
      <c r="G9" s="37">
        <f t="shared" si="2"/>
        <v>3.7823824999999829</v>
      </c>
      <c r="H9" s="30">
        <f t="shared" si="3"/>
        <v>4.3046875</v>
      </c>
      <c r="I9" s="37">
        <f t="shared" si="4"/>
        <v>14.30641737630612</v>
      </c>
      <c r="J9" s="38">
        <f t="shared" si="5"/>
        <v>18.53033447265625</v>
      </c>
      <c r="K9" s="41">
        <f t="shared" si="6"/>
        <v>2.0782321428571334E-2</v>
      </c>
      <c r="L9" s="41">
        <f t="shared" si="7"/>
        <v>2.365212912087912E-2</v>
      </c>
      <c r="M9" s="43"/>
    </row>
    <row r="10" spans="1:13" x14ac:dyDescent="0.35">
      <c r="A10" s="3">
        <v>9</v>
      </c>
      <c r="B10" s="4"/>
      <c r="C10" s="2"/>
      <c r="D10" s="3"/>
      <c r="E10" s="37"/>
      <c r="G10" s="7">
        <f t="shared" ref="G10:L10" si="10">AVERAGE(G2:G9)</f>
        <v>10.307319687499987</v>
      </c>
      <c r="H10" s="7">
        <f t="shared" si="10"/>
        <v>12.3291015625</v>
      </c>
      <c r="I10" s="39">
        <f t="shared" si="10"/>
        <v>190.81748810867862</v>
      </c>
      <c r="J10" s="39">
        <f t="shared" si="10"/>
        <v>195.23831939697266</v>
      </c>
      <c r="K10" s="42">
        <f t="shared" si="10"/>
        <v>5.5939745472411206E-2</v>
      </c>
      <c r="L10" s="42">
        <f t="shared" si="10"/>
        <v>6.7561890812637873E-2</v>
      </c>
    </row>
    <row r="11" spans="1:13" x14ac:dyDescent="0.35">
      <c r="C11" s="2"/>
      <c r="D11" s="3"/>
      <c r="E11" s="37"/>
      <c r="G11" s="4" t="s">
        <v>14</v>
      </c>
      <c r="H11" s="4" t="s">
        <v>15</v>
      </c>
      <c r="I11" s="5" t="s">
        <v>16</v>
      </c>
      <c r="J11" s="5" t="s">
        <v>17</v>
      </c>
      <c r="K11" s="4" t="s">
        <v>20</v>
      </c>
      <c r="L11" s="4" t="s">
        <v>21</v>
      </c>
    </row>
    <row r="12" spans="1:13" x14ac:dyDescent="0.35">
      <c r="A12" t="s">
        <v>5</v>
      </c>
      <c r="B12">
        <v>0.1</v>
      </c>
      <c r="D12" t="s">
        <v>70</v>
      </c>
      <c r="E12" t="s">
        <v>71</v>
      </c>
    </row>
    <row r="13" spans="1:13" x14ac:dyDescent="0.35">
      <c r="B13">
        <v>0.5</v>
      </c>
    </row>
    <row r="14" spans="1:13" x14ac:dyDescent="0.35">
      <c r="D14" s="3" t="s">
        <v>3</v>
      </c>
      <c r="E14" s="3" t="s">
        <v>4</v>
      </c>
      <c r="F14" s="3" t="s">
        <v>82</v>
      </c>
      <c r="G14" s="3" t="s">
        <v>83</v>
      </c>
      <c r="H14" s="3" t="s">
        <v>84</v>
      </c>
    </row>
    <row r="15" spans="1:13" x14ac:dyDescent="0.35">
      <c r="D15" s="3">
        <v>100</v>
      </c>
      <c r="E15" s="3">
        <v>105</v>
      </c>
      <c r="F15" s="3">
        <f>D15-E15</f>
        <v>-5</v>
      </c>
      <c r="G15" s="3">
        <f>ABS(F15)</f>
        <v>5</v>
      </c>
      <c r="H15" s="3">
        <f>F15^2</f>
        <v>25</v>
      </c>
    </row>
    <row r="16" spans="1:13" x14ac:dyDescent="0.35">
      <c r="D16" s="3">
        <v>90</v>
      </c>
      <c r="E16" s="3">
        <v>85</v>
      </c>
      <c r="F16" s="3">
        <f t="shared" ref="F16:F18" si="11">D16-E16</f>
        <v>5</v>
      </c>
      <c r="G16" s="3">
        <f t="shared" ref="G16:G18" si="12">ABS(F16)</f>
        <v>5</v>
      </c>
      <c r="H16" s="3">
        <f t="shared" ref="H16:H18" si="13">F16^2</f>
        <v>25</v>
      </c>
    </row>
    <row r="17" spans="4:8" x14ac:dyDescent="0.35">
      <c r="D17" s="3">
        <v>110</v>
      </c>
      <c r="E17" s="3">
        <v>115</v>
      </c>
      <c r="F17" s="3">
        <f t="shared" si="11"/>
        <v>-5</v>
      </c>
      <c r="G17" s="3">
        <f t="shared" si="12"/>
        <v>5</v>
      </c>
      <c r="H17" s="3">
        <f t="shared" si="13"/>
        <v>25</v>
      </c>
    </row>
    <row r="18" spans="4:8" x14ac:dyDescent="0.35">
      <c r="D18" s="3">
        <v>105</v>
      </c>
      <c r="E18" s="3">
        <v>100</v>
      </c>
      <c r="F18" s="3">
        <f t="shared" si="11"/>
        <v>5</v>
      </c>
      <c r="G18" s="3">
        <f t="shared" si="12"/>
        <v>5</v>
      </c>
      <c r="H18" s="3">
        <f t="shared" si="13"/>
        <v>25</v>
      </c>
    </row>
    <row r="19" spans="4:8" x14ac:dyDescent="0.35">
      <c r="D19" s="10"/>
      <c r="E19" s="10"/>
      <c r="F19" s="35">
        <f>AVERAGE(F15:F18)</f>
        <v>0</v>
      </c>
      <c r="G19" s="10">
        <f>AVERAGE(G15:G18)</f>
        <v>5</v>
      </c>
      <c r="H19" s="10">
        <f>AVERAGE(H15:H18)</f>
        <v>25</v>
      </c>
    </row>
    <row r="20" spans="4:8" x14ac:dyDescent="0.35">
      <c r="G20" s="45" t="s">
        <v>92</v>
      </c>
      <c r="H20" s="45" t="s">
        <v>93</v>
      </c>
    </row>
    <row r="22" spans="4:8" x14ac:dyDescent="0.35">
      <c r="G22" t="s">
        <v>92</v>
      </c>
    </row>
    <row r="23" spans="4:8" x14ac:dyDescent="0.35">
      <c r="G23">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zoomScale="140" zoomScaleNormal="140" workbookViewId="0">
      <selection activeCell="B5" sqref="B5"/>
    </sheetView>
  </sheetViews>
  <sheetFormatPr defaultRowHeight="14.5" x14ac:dyDescent="0.35"/>
  <cols>
    <col min="2" max="2" width="14.453125" bestFit="1" customWidth="1"/>
    <col min="3" max="4" width="8.7265625" customWidth="1"/>
    <col min="8" max="8" width="25.26953125" bestFit="1" customWidth="1"/>
  </cols>
  <sheetData>
    <row r="1" spans="1:8" x14ac:dyDescent="0.35">
      <c r="A1" s="3" t="s">
        <v>22</v>
      </c>
      <c r="B1" s="3" t="s">
        <v>23</v>
      </c>
      <c r="C1" s="3" t="s">
        <v>26</v>
      </c>
      <c r="D1" s="3" t="s">
        <v>27</v>
      </c>
      <c r="E1" s="3" t="s">
        <v>28</v>
      </c>
    </row>
    <row r="2" spans="1:8" x14ac:dyDescent="0.35">
      <c r="A2" s="3">
        <v>1</v>
      </c>
      <c r="B2" s="3">
        <v>12</v>
      </c>
      <c r="C2" s="4">
        <v>11</v>
      </c>
      <c r="D2" s="4">
        <v>2</v>
      </c>
      <c r="E2" s="3"/>
      <c r="F2" t="s">
        <v>28</v>
      </c>
      <c r="G2" t="s">
        <v>69</v>
      </c>
    </row>
    <row r="3" spans="1:8" x14ac:dyDescent="0.35">
      <c r="A3" s="3">
        <v>2</v>
      </c>
      <c r="B3" s="3">
        <v>17</v>
      </c>
      <c r="C3" s="3">
        <f>$B$12*B2+(1-$B$12)*(C2+D2)</f>
        <v>12.8</v>
      </c>
      <c r="D3" s="3">
        <f>$B$13*(C3-C2)+(1-$B$13)*D2</f>
        <v>1.9200000000000004</v>
      </c>
      <c r="E3" s="3">
        <f>SUM(C3:D3)</f>
        <v>14.72</v>
      </c>
      <c r="G3" t="s">
        <v>70</v>
      </c>
      <c r="H3" t="s">
        <v>87</v>
      </c>
    </row>
    <row r="4" spans="1:8" x14ac:dyDescent="0.35">
      <c r="A4" s="3">
        <v>3</v>
      </c>
      <c r="B4" s="3">
        <v>20</v>
      </c>
      <c r="C4" s="3">
        <f t="shared" ref="C4:C11" si="0">$B$12*B3+(1-$B$12)*(C3+D3)</f>
        <v>15.176000000000002</v>
      </c>
      <c r="D4" s="3">
        <f t="shared" ref="D4:D11" si="1">$B$13*(C4-C3)+(1-$B$13)*D3</f>
        <v>2.1024000000000007</v>
      </c>
      <c r="E4" s="3">
        <f t="shared" ref="E4:E11" si="2">C4+D4</f>
        <v>17.278400000000001</v>
      </c>
      <c r="G4" t="s">
        <v>85</v>
      </c>
      <c r="H4" t="s">
        <v>86</v>
      </c>
    </row>
    <row r="5" spans="1:8" x14ac:dyDescent="0.35">
      <c r="A5" s="3">
        <v>4</v>
      </c>
      <c r="B5" s="3">
        <v>19</v>
      </c>
      <c r="C5" s="3">
        <f t="shared" si="0"/>
        <v>17.822720000000004</v>
      </c>
      <c r="D5" s="3">
        <f t="shared" si="1"/>
        <v>2.3201280000000013</v>
      </c>
      <c r="E5" s="3">
        <f t="shared" si="2"/>
        <v>20.142848000000004</v>
      </c>
      <c r="H5" s="31" t="s">
        <v>76</v>
      </c>
    </row>
    <row r="6" spans="1:8" ht="22.5" x14ac:dyDescent="0.5">
      <c r="A6" s="3">
        <v>5</v>
      </c>
      <c r="B6" s="3">
        <v>24</v>
      </c>
      <c r="C6" s="3">
        <f t="shared" si="0"/>
        <v>19.914278400000004</v>
      </c>
      <c r="D6" s="3">
        <f t="shared" si="1"/>
        <v>2.2287001600000007</v>
      </c>
      <c r="E6" s="3">
        <f t="shared" si="2"/>
        <v>22.142978560000003</v>
      </c>
      <c r="H6" s="32" t="s">
        <v>77</v>
      </c>
    </row>
    <row r="7" spans="1:8" x14ac:dyDescent="0.35">
      <c r="A7" s="3">
        <v>6</v>
      </c>
      <c r="B7" s="3">
        <v>21</v>
      </c>
      <c r="C7" s="3">
        <f t="shared" si="0"/>
        <v>22.514382848000004</v>
      </c>
      <c r="D7" s="3">
        <f t="shared" si="1"/>
        <v>2.3772618752000003</v>
      </c>
      <c r="E7" s="3">
        <f t="shared" si="2"/>
        <v>24.891644723200002</v>
      </c>
    </row>
    <row r="8" spans="1:8" x14ac:dyDescent="0.35">
      <c r="A8" s="3">
        <v>7</v>
      </c>
      <c r="B8" s="3">
        <v>31</v>
      </c>
      <c r="C8" s="3">
        <f t="shared" si="0"/>
        <v>24.113315778560004</v>
      </c>
      <c r="D8" s="3">
        <f t="shared" si="1"/>
        <v>2.0659302973440004</v>
      </c>
      <c r="E8" s="3">
        <f t="shared" si="2"/>
        <v>26.179246075904004</v>
      </c>
    </row>
    <row r="9" spans="1:8" x14ac:dyDescent="0.35">
      <c r="A9" s="3">
        <v>8</v>
      </c>
      <c r="B9" s="3">
        <v>28</v>
      </c>
      <c r="C9" s="3">
        <f t="shared" si="0"/>
        <v>27.143396860723204</v>
      </c>
      <c r="D9" s="3">
        <f t="shared" si="1"/>
        <v>2.4515906112716803</v>
      </c>
      <c r="E9" s="3">
        <f t="shared" si="2"/>
        <v>29.594987471994884</v>
      </c>
    </row>
    <row r="10" spans="1:8" x14ac:dyDescent="0.35">
      <c r="A10" s="3">
        <v>9</v>
      </c>
      <c r="B10" s="3">
        <v>36</v>
      </c>
      <c r="C10" s="3">
        <f t="shared" si="0"/>
        <v>29.275989977595909</v>
      </c>
      <c r="D10" s="3">
        <f t="shared" si="1"/>
        <v>2.3239916135120904</v>
      </c>
      <c r="E10" s="3">
        <f t="shared" si="2"/>
        <v>31.599981591107998</v>
      </c>
    </row>
    <row r="11" spans="1:8" x14ac:dyDescent="0.35">
      <c r="A11" s="3">
        <v>10</v>
      </c>
      <c r="B11" s="3"/>
      <c r="C11" s="3">
        <f t="shared" si="0"/>
        <v>32.479985272886402</v>
      </c>
      <c r="D11" s="3">
        <f t="shared" si="1"/>
        <v>2.6759930862234516</v>
      </c>
      <c r="E11" s="3">
        <f t="shared" si="2"/>
        <v>35.155978359109852</v>
      </c>
    </row>
    <row r="12" spans="1:8" x14ac:dyDescent="0.35">
      <c r="A12" s="3" t="s">
        <v>24</v>
      </c>
      <c r="B12" s="3">
        <v>0.2</v>
      </c>
      <c r="E12" s="3"/>
    </row>
    <row r="13" spans="1:8" x14ac:dyDescent="0.35">
      <c r="A13" s="8" t="s">
        <v>25</v>
      </c>
      <c r="B13" s="3">
        <v>0.4</v>
      </c>
      <c r="E13" s="3"/>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
  <sheetViews>
    <sheetView zoomScale="110" zoomScaleNormal="110" workbookViewId="0">
      <selection activeCell="C13" sqref="C13"/>
    </sheetView>
  </sheetViews>
  <sheetFormatPr defaultRowHeight="14.5" x14ac:dyDescent="0.35"/>
  <cols>
    <col min="2" max="2" width="12.26953125" bestFit="1" customWidth="1"/>
    <col min="3" max="3" width="22.90625" bestFit="1" customWidth="1"/>
    <col min="4" max="4" width="11.1796875" bestFit="1" customWidth="1"/>
    <col min="2000" max="2000" width="2.453125" customWidth="1"/>
  </cols>
  <sheetData>
    <row r="1" spans="1:9" x14ac:dyDescent="0.35">
      <c r="A1" s="3" t="s">
        <v>31</v>
      </c>
      <c r="B1" s="34" t="s">
        <v>32</v>
      </c>
      <c r="C1" s="35"/>
      <c r="D1" s="35"/>
      <c r="E1" s="35"/>
      <c r="F1" s="35"/>
      <c r="G1" s="35"/>
      <c r="H1" s="35"/>
      <c r="I1" s="35"/>
    </row>
    <row r="2" spans="1:9" x14ac:dyDescent="0.35">
      <c r="A2" s="3">
        <v>1</v>
      </c>
      <c r="B2" s="34">
        <v>74</v>
      </c>
      <c r="C2" s="35" t="s">
        <v>1</v>
      </c>
      <c r="D2" s="35"/>
      <c r="E2" s="35"/>
      <c r="F2" s="35"/>
      <c r="G2" s="35"/>
      <c r="H2" s="35"/>
      <c r="I2" s="35"/>
    </row>
    <row r="3" spans="1:9" x14ac:dyDescent="0.35">
      <c r="A3" s="3">
        <v>2</v>
      </c>
      <c r="B3" s="34">
        <v>79</v>
      </c>
      <c r="C3" s="35" t="s">
        <v>0</v>
      </c>
      <c r="D3" s="35"/>
      <c r="E3" s="35"/>
      <c r="F3" s="35"/>
      <c r="G3" s="35"/>
      <c r="H3" s="35"/>
      <c r="I3" s="35"/>
    </row>
    <row r="4" spans="1:9" x14ac:dyDescent="0.35">
      <c r="A4" s="3">
        <v>3</v>
      </c>
      <c r="B4" s="34">
        <v>80</v>
      </c>
      <c r="C4" s="35"/>
      <c r="D4" s="35"/>
      <c r="E4" s="35"/>
      <c r="F4" s="35"/>
      <c r="G4" s="35"/>
      <c r="H4" s="35"/>
      <c r="I4" s="35"/>
    </row>
    <row r="5" spans="1:9" x14ac:dyDescent="0.35">
      <c r="A5" s="3">
        <v>4</v>
      </c>
      <c r="B5" s="34">
        <v>90</v>
      </c>
      <c r="C5" s="35"/>
      <c r="D5" s="35"/>
      <c r="E5" s="35"/>
      <c r="F5" s="35"/>
      <c r="G5" s="35"/>
      <c r="H5" s="35"/>
      <c r="I5" s="35"/>
    </row>
    <row r="6" spans="1:9" x14ac:dyDescent="0.35">
      <c r="A6" s="3">
        <v>5</v>
      </c>
      <c r="B6" s="34">
        <v>105</v>
      </c>
      <c r="C6" s="35"/>
      <c r="D6" s="35"/>
      <c r="E6" s="35"/>
      <c r="F6" s="35"/>
      <c r="G6" s="35"/>
      <c r="H6" s="35"/>
      <c r="I6" s="35"/>
    </row>
    <row r="7" spans="1:9" x14ac:dyDescent="0.35">
      <c r="A7" s="3">
        <v>6</v>
      </c>
      <c r="B7" s="34">
        <v>142</v>
      </c>
      <c r="C7" s="35" t="s">
        <v>88</v>
      </c>
      <c r="D7" s="35"/>
      <c r="E7" s="35"/>
      <c r="F7" s="35"/>
      <c r="G7" s="35"/>
      <c r="H7" s="35"/>
      <c r="I7" s="35"/>
    </row>
    <row r="8" spans="1:9" x14ac:dyDescent="0.35">
      <c r="A8" s="3">
        <v>7</v>
      </c>
      <c r="B8" s="34">
        <v>122</v>
      </c>
      <c r="C8" s="35"/>
      <c r="D8" s="35"/>
      <c r="E8" s="35"/>
      <c r="F8" s="35"/>
      <c r="G8" s="35"/>
      <c r="H8" s="35"/>
      <c r="I8" s="35"/>
    </row>
    <row r="9" spans="1:9" x14ac:dyDescent="0.35">
      <c r="A9" s="4">
        <v>8</v>
      </c>
      <c r="B9" s="44">
        <f>D2+(D3*8)</f>
        <v>0</v>
      </c>
      <c r="C9" s="35"/>
      <c r="D9" s="35"/>
    </row>
    <row r="10" spans="1:9" x14ac:dyDescent="0.35">
      <c r="A10" s="10">
        <v>9</v>
      </c>
      <c r="B10">
        <f>D2+(D3*9)</f>
        <v>0</v>
      </c>
    </row>
    <row r="11" spans="1:9" x14ac:dyDescent="0.35">
      <c r="A11" t="s">
        <v>62</v>
      </c>
    </row>
    <row r="13" spans="1:9" x14ac:dyDescent="0.35">
      <c r="A13" t="s">
        <v>30</v>
      </c>
      <c r="E13" s="6"/>
      <c r="F13" s="6"/>
    </row>
    <row r="15" spans="1:9" x14ac:dyDescent="0.35">
      <c r="B15" s="33"/>
      <c r="C15" s="33"/>
    </row>
    <row r="16" spans="1:9" x14ac:dyDescent="0.35">
      <c r="B16" s="33"/>
      <c r="C16" s="33"/>
    </row>
    <row r="17" spans="1:3" x14ac:dyDescent="0.35">
      <c r="B17" s="33"/>
      <c r="C17" s="33"/>
    </row>
    <row r="18" spans="1:3" x14ac:dyDescent="0.35">
      <c r="B18" s="28"/>
      <c r="C18" s="28"/>
    </row>
    <row r="19" spans="1:3" x14ac:dyDescent="0.35">
      <c r="B19" s="33"/>
      <c r="C19" s="33"/>
    </row>
    <row r="21" spans="1:3" x14ac:dyDescent="0.35">
      <c r="C21" s="23"/>
    </row>
    <row r="24" spans="1:3" x14ac:dyDescent="0.35">
      <c r="A24" s="3" t="s">
        <v>31</v>
      </c>
      <c r="B24" s="3" t="s">
        <v>32</v>
      </c>
      <c r="C24" s="3" t="s">
        <v>33</v>
      </c>
    </row>
    <row r="25" spans="1:3" x14ac:dyDescent="0.35">
      <c r="A25" s="3">
        <v>1</v>
      </c>
      <c r="B25" s="3">
        <v>74</v>
      </c>
      <c r="C25" s="3"/>
    </row>
    <row r="26" spans="1:3" x14ac:dyDescent="0.35">
      <c r="A26" s="3">
        <v>2</v>
      </c>
      <c r="B26" s="3">
        <v>79</v>
      </c>
      <c r="C26" s="3"/>
    </row>
    <row r="27" spans="1:3" x14ac:dyDescent="0.35">
      <c r="A27" s="3">
        <v>3</v>
      </c>
      <c r="B27" s="3">
        <v>80</v>
      </c>
      <c r="C27" s="3"/>
    </row>
    <row r="28" spans="1:3" x14ac:dyDescent="0.35">
      <c r="A28" s="3">
        <v>4</v>
      </c>
      <c r="B28" s="3">
        <v>90</v>
      </c>
      <c r="C28" s="3"/>
    </row>
    <row r="29" spans="1:3" x14ac:dyDescent="0.35">
      <c r="A29" s="3">
        <v>5</v>
      </c>
      <c r="B29" s="3">
        <v>105</v>
      </c>
      <c r="C29" s="3"/>
    </row>
    <row r="30" spans="1:3" x14ac:dyDescent="0.35">
      <c r="A30" s="3">
        <v>6</v>
      </c>
      <c r="B30" s="3">
        <v>142</v>
      </c>
      <c r="C30" s="3"/>
    </row>
    <row r="31" spans="1:3" x14ac:dyDescent="0.35">
      <c r="A31" s="3">
        <v>7</v>
      </c>
      <c r="B31" s="3">
        <v>122</v>
      </c>
      <c r="C31" s="3"/>
    </row>
    <row r="32" spans="1:3" x14ac:dyDescent="0.35">
      <c r="A32" s="10">
        <v>8</v>
      </c>
      <c r="C32" s="3"/>
    </row>
    <row r="33" spans="1:3" x14ac:dyDescent="0.35">
      <c r="A33" s="10">
        <v>9</v>
      </c>
      <c r="C33"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
  <sheetViews>
    <sheetView zoomScale="120" zoomScaleNormal="120" workbookViewId="0">
      <selection activeCell="M9" sqref="M9"/>
    </sheetView>
  </sheetViews>
  <sheetFormatPr defaultRowHeight="14.5" x14ac:dyDescent="0.35"/>
  <cols>
    <col min="2" max="2" width="14.1796875" bestFit="1" customWidth="1"/>
    <col min="5" max="5" width="9.7265625" bestFit="1" customWidth="1"/>
    <col min="6" max="6" width="11.7265625" bestFit="1" customWidth="1"/>
  </cols>
  <sheetData>
    <row r="1" spans="1:7" x14ac:dyDescent="0.35">
      <c r="A1" s="35" t="s">
        <v>29</v>
      </c>
      <c r="B1" s="35" t="s">
        <v>34</v>
      </c>
    </row>
    <row r="2" spans="1:7" x14ac:dyDescent="0.35">
      <c r="A2" s="35">
        <v>1</v>
      </c>
      <c r="B2" s="35">
        <v>36</v>
      </c>
    </row>
    <row r="3" spans="1:7" x14ac:dyDescent="0.35">
      <c r="A3" s="35">
        <v>2</v>
      </c>
      <c r="B3" s="35">
        <v>33</v>
      </c>
    </row>
    <row r="4" spans="1:7" x14ac:dyDescent="0.35">
      <c r="A4" s="35">
        <v>3</v>
      </c>
      <c r="B4" s="35">
        <v>40</v>
      </c>
      <c r="D4" t="s">
        <v>1</v>
      </c>
      <c r="F4" s="33"/>
      <c r="G4" s="33"/>
    </row>
    <row r="5" spans="1:7" x14ac:dyDescent="0.35">
      <c r="A5" s="35">
        <v>4</v>
      </c>
      <c r="B5" s="35">
        <v>41</v>
      </c>
      <c r="D5" t="s">
        <v>0</v>
      </c>
      <c r="F5" s="33"/>
      <c r="G5" s="33"/>
    </row>
    <row r="6" spans="1:7" x14ac:dyDescent="0.35">
      <c r="A6" s="35">
        <v>5</v>
      </c>
      <c r="B6" s="35">
        <v>40</v>
      </c>
      <c r="F6" s="33"/>
      <c r="G6" s="33"/>
    </row>
    <row r="7" spans="1:7" x14ac:dyDescent="0.35">
      <c r="A7" s="35">
        <v>6</v>
      </c>
      <c r="B7" s="35">
        <v>55</v>
      </c>
      <c r="D7" t="s">
        <v>89</v>
      </c>
      <c r="F7" s="28"/>
      <c r="G7" s="28"/>
    </row>
    <row r="8" spans="1:7" x14ac:dyDescent="0.35">
      <c r="A8" s="35">
        <v>7</v>
      </c>
      <c r="B8" s="35">
        <v>60</v>
      </c>
      <c r="F8" s="33"/>
      <c r="G8" s="33"/>
    </row>
    <row r="9" spans="1:7" x14ac:dyDescent="0.35">
      <c r="A9" s="35">
        <v>8</v>
      </c>
      <c r="B9" s="35">
        <v>54</v>
      </c>
      <c r="F9" s="28"/>
      <c r="G9" s="28"/>
    </row>
    <row r="10" spans="1:7" x14ac:dyDescent="0.35">
      <c r="A10" s="35">
        <v>9</v>
      </c>
      <c r="B10" s="35">
        <v>58</v>
      </c>
    </row>
    <row r="11" spans="1:7" x14ac:dyDescent="0.35">
      <c r="A11" s="35">
        <v>10</v>
      </c>
      <c r="B11" s="35">
        <v>61</v>
      </c>
    </row>
    <row r="12" spans="1:7" x14ac:dyDescent="0.35">
      <c r="A12" s="35">
        <v>11</v>
      </c>
      <c r="B12">
        <f>E4+E5*A12</f>
        <v>0</v>
      </c>
      <c r="D12" t="s">
        <v>94</v>
      </c>
      <c r="E12" t="s">
        <v>95</v>
      </c>
    </row>
    <row r="13" spans="1:7" x14ac:dyDescent="0.35">
      <c r="A13" s="35">
        <v>12</v>
      </c>
    </row>
    <row r="17" spans="1:3" x14ac:dyDescent="0.35">
      <c r="A17" t="s">
        <v>29</v>
      </c>
      <c r="B17" t="s">
        <v>34</v>
      </c>
      <c r="C17" t="s">
        <v>4</v>
      </c>
    </row>
    <row r="18" spans="1:3" x14ac:dyDescent="0.35">
      <c r="A18">
        <v>1</v>
      </c>
      <c r="B18">
        <v>36</v>
      </c>
    </row>
    <row r="19" spans="1:3" x14ac:dyDescent="0.35">
      <c r="A19">
        <v>2</v>
      </c>
      <c r="B19">
        <v>33</v>
      </c>
    </row>
    <row r="20" spans="1:3" x14ac:dyDescent="0.35">
      <c r="A20">
        <v>3</v>
      </c>
      <c r="B20">
        <v>40</v>
      </c>
    </row>
    <row r="21" spans="1:3" x14ac:dyDescent="0.35">
      <c r="A21">
        <v>4</v>
      </c>
      <c r="B21">
        <v>41</v>
      </c>
    </row>
    <row r="22" spans="1:3" x14ac:dyDescent="0.35">
      <c r="A22">
        <v>5</v>
      </c>
      <c r="B22">
        <v>40</v>
      </c>
    </row>
    <row r="23" spans="1:3" x14ac:dyDescent="0.35">
      <c r="A23">
        <v>6</v>
      </c>
      <c r="B23">
        <v>55</v>
      </c>
    </row>
    <row r="24" spans="1:3" x14ac:dyDescent="0.35">
      <c r="A24">
        <v>7</v>
      </c>
      <c r="B24">
        <v>60</v>
      </c>
    </row>
    <row r="25" spans="1:3" x14ac:dyDescent="0.35">
      <c r="A25">
        <v>8</v>
      </c>
      <c r="B25">
        <v>54</v>
      </c>
    </row>
    <row r="26" spans="1:3" x14ac:dyDescent="0.35">
      <c r="A26">
        <v>9</v>
      </c>
      <c r="B26">
        <v>58</v>
      </c>
    </row>
    <row r="27" spans="1:3" x14ac:dyDescent="0.35">
      <c r="A27">
        <v>10</v>
      </c>
      <c r="B27">
        <v>61</v>
      </c>
    </row>
    <row r="28" spans="1:3" x14ac:dyDescent="0.35">
      <c r="A28">
        <v>11</v>
      </c>
    </row>
    <row r="29" spans="1:3" x14ac:dyDescent="0.35">
      <c r="A29">
        <v>12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0"/>
  <sheetViews>
    <sheetView workbookViewId="0">
      <selection activeCell="A3" sqref="A3"/>
    </sheetView>
  </sheetViews>
  <sheetFormatPr defaultRowHeight="14.5" x14ac:dyDescent="0.35"/>
  <cols>
    <col min="1" max="1" width="12.81640625" customWidth="1"/>
    <col min="4" max="4" width="8.7265625" bestFit="1" customWidth="1"/>
    <col min="5" max="7" width="8.7265625" customWidth="1"/>
    <col min="8" max="8" width="18.54296875" customWidth="1"/>
    <col min="9" max="9" width="22.54296875" customWidth="1"/>
    <col min="14" max="14" width="23.6328125" bestFit="1" customWidth="1"/>
  </cols>
  <sheetData>
    <row r="1" spans="1:15" ht="24" customHeight="1" thickBot="1" x14ac:dyDescent="0.5">
      <c r="A1" s="11"/>
      <c r="B1" s="49" t="s">
        <v>35</v>
      </c>
      <c r="C1" s="49"/>
      <c r="D1" s="50"/>
      <c r="E1" s="11"/>
      <c r="F1" s="12"/>
      <c r="G1" s="12"/>
      <c r="H1" s="12"/>
      <c r="I1" s="13"/>
    </row>
    <row r="2" spans="1:15" ht="54.75" customHeight="1" thickBot="1" x14ac:dyDescent="0.4">
      <c r="A2" s="9" t="s">
        <v>36</v>
      </c>
      <c r="B2" s="9" t="s">
        <v>37</v>
      </c>
      <c r="C2" s="9" t="s">
        <v>38</v>
      </c>
      <c r="D2" s="9" t="s">
        <v>39</v>
      </c>
      <c r="E2" s="51" t="s">
        <v>40</v>
      </c>
      <c r="F2" s="49"/>
      <c r="G2" s="50"/>
      <c r="H2" s="9" t="s">
        <v>41</v>
      </c>
      <c r="I2" s="9" t="s">
        <v>42</v>
      </c>
    </row>
    <row r="3" spans="1:15" ht="24" customHeight="1" thickBot="1" x14ac:dyDescent="0.4">
      <c r="A3" s="14" t="s">
        <v>43</v>
      </c>
      <c r="B3" s="24">
        <v>80</v>
      </c>
      <c r="C3" s="24">
        <v>85</v>
      </c>
      <c r="D3" s="24">
        <v>105</v>
      </c>
      <c r="E3" s="46">
        <f>AVERAGE(B3:D3)</f>
        <v>90</v>
      </c>
      <c r="F3" s="47"/>
      <c r="G3" s="48"/>
      <c r="H3" s="15">
        <f>AVERAGE($B$3:$D$14)</f>
        <v>94</v>
      </c>
      <c r="I3" s="25">
        <f>E3/H3</f>
        <v>0.95744680851063835</v>
      </c>
      <c r="K3" s="14" t="s">
        <v>43</v>
      </c>
      <c r="L3" s="14">
        <v>80</v>
      </c>
      <c r="N3" t="s">
        <v>40</v>
      </c>
      <c r="O3" t="s">
        <v>41</v>
      </c>
    </row>
    <row r="4" spans="1:15" ht="23" thickBot="1" x14ac:dyDescent="0.4">
      <c r="A4" s="14" t="s">
        <v>44</v>
      </c>
      <c r="B4" s="24">
        <v>70</v>
      </c>
      <c r="C4" s="24">
        <v>85</v>
      </c>
      <c r="D4" s="24">
        <v>85</v>
      </c>
      <c r="E4" s="46">
        <f>AVERAGE(B4:D4)</f>
        <v>80</v>
      </c>
      <c r="F4" s="47"/>
      <c r="G4" s="48"/>
      <c r="H4" s="15">
        <f t="shared" ref="H4:H14" si="0">AVERAGE($B$3:$D$14)</f>
        <v>94</v>
      </c>
      <c r="I4" s="25">
        <f t="shared" ref="I4:I14" si="1">E4/H4</f>
        <v>0.85106382978723405</v>
      </c>
      <c r="K4" s="14" t="s">
        <v>44</v>
      </c>
      <c r="L4" s="14">
        <v>70</v>
      </c>
      <c r="M4" s="14" t="s">
        <v>43</v>
      </c>
      <c r="N4">
        <v>90</v>
      </c>
      <c r="O4">
        <v>94</v>
      </c>
    </row>
    <row r="5" spans="1:15" ht="24" customHeight="1" thickBot="1" x14ac:dyDescent="0.4">
      <c r="A5" s="14" t="s">
        <v>45</v>
      </c>
      <c r="B5" s="24">
        <v>80</v>
      </c>
      <c r="C5" s="24">
        <v>93</v>
      </c>
      <c r="D5" s="24">
        <v>82</v>
      </c>
      <c r="E5" s="46">
        <f t="shared" ref="E5:E14" si="2">AVERAGE(B5:D5)</f>
        <v>85</v>
      </c>
      <c r="F5" s="47"/>
      <c r="G5" s="48"/>
      <c r="H5" s="15">
        <f t="shared" si="0"/>
        <v>94</v>
      </c>
      <c r="I5" s="25">
        <f t="shared" si="1"/>
        <v>0.9042553191489362</v>
      </c>
      <c r="K5" s="14" t="s">
        <v>45</v>
      </c>
      <c r="L5" s="14">
        <v>80</v>
      </c>
      <c r="M5" s="14" t="s">
        <v>44</v>
      </c>
      <c r="N5">
        <v>80</v>
      </c>
      <c r="O5">
        <v>94</v>
      </c>
    </row>
    <row r="6" spans="1:15" ht="23" thickBot="1" x14ac:dyDescent="0.4">
      <c r="A6" s="14" t="s">
        <v>46</v>
      </c>
      <c r="B6" s="24">
        <v>90</v>
      </c>
      <c r="C6" s="24">
        <v>95</v>
      </c>
      <c r="D6" s="24">
        <v>115</v>
      </c>
      <c r="E6" s="46">
        <f t="shared" si="2"/>
        <v>100</v>
      </c>
      <c r="F6" s="47"/>
      <c r="G6" s="48"/>
      <c r="H6" s="15">
        <f t="shared" si="0"/>
        <v>94</v>
      </c>
      <c r="I6" s="25">
        <f t="shared" si="1"/>
        <v>1.0638297872340425</v>
      </c>
      <c r="K6" s="14" t="s">
        <v>46</v>
      </c>
      <c r="L6" s="14">
        <v>90</v>
      </c>
      <c r="M6" s="14" t="s">
        <v>45</v>
      </c>
      <c r="N6">
        <v>85</v>
      </c>
      <c r="O6">
        <v>94</v>
      </c>
    </row>
    <row r="7" spans="1:15" ht="24" customHeight="1" thickBot="1" x14ac:dyDescent="0.4">
      <c r="A7" s="14" t="s">
        <v>47</v>
      </c>
      <c r="B7" s="24">
        <v>113</v>
      </c>
      <c r="C7" s="24">
        <v>125</v>
      </c>
      <c r="D7" s="24">
        <v>131</v>
      </c>
      <c r="E7" s="46">
        <f t="shared" si="2"/>
        <v>123</v>
      </c>
      <c r="F7" s="47"/>
      <c r="G7" s="48"/>
      <c r="H7" s="15">
        <f t="shared" si="0"/>
        <v>94</v>
      </c>
      <c r="I7" s="25">
        <f t="shared" si="1"/>
        <v>1.3085106382978724</v>
      </c>
      <c r="K7" s="14" t="s">
        <v>47</v>
      </c>
      <c r="L7" s="14">
        <v>113</v>
      </c>
      <c r="M7" s="14" t="s">
        <v>46</v>
      </c>
      <c r="N7">
        <v>100</v>
      </c>
      <c r="O7">
        <v>94</v>
      </c>
    </row>
    <row r="8" spans="1:15" ht="23" thickBot="1" x14ac:dyDescent="0.4">
      <c r="A8" s="14" t="s">
        <v>48</v>
      </c>
      <c r="B8" s="24">
        <v>110</v>
      </c>
      <c r="C8" s="24">
        <v>115</v>
      </c>
      <c r="D8" s="24">
        <v>120</v>
      </c>
      <c r="E8" s="46">
        <f t="shared" si="2"/>
        <v>115</v>
      </c>
      <c r="F8" s="47"/>
      <c r="G8" s="48"/>
      <c r="H8" s="15">
        <f t="shared" si="0"/>
        <v>94</v>
      </c>
      <c r="I8" s="25">
        <f t="shared" si="1"/>
        <v>1.2234042553191489</v>
      </c>
      <c r="K8" s="14" t="s">
        <v>48</v>
      </c>
      <c r="L8" s="14">
        <v>110</v>
      </c>
      <c r="M8" s="14" t="s">
        <v>47</v>
      </c>
      <c r="N8">
        <v>123</v>
      </c>
      <c r="O8">
        <v>94</v>
      </c>
    </row>
    <row r="9" spans="1:15" ht="24" customHeight="1" thickBot="1" x14ac:dyDescent="0.4">
      <c r="A9" s="14" t="s">
        <v>49</v>
      </c>
      <c r="B9" s="24">
        <v>100</v>
      </c>
      <c r="C9" s="24">
        <v>102</v>
      </c>
      <c r="D9" s="24">
        <v>113</v>
      </c>
      <c r="E9" s="46">
        <f t="shared" si="2"/>
        <v>105</v>
      </c>
      <c r="F9" s="47"/>
      <c r="G9" s="48"/>
      <c r="H9" s="15">
        <f t="shared" si="0"/>
        <v>94</v>
      </c>
      <c r="I9" s="25">
        <f t="shared" si="1"/>
        <v>1.1170212765957446</v>
      </c>
      <c r="K9" s="14" t="s">
        <v>49</v>
      </c>
      <c r="L9" s="14">
        <v>100</v>
      </c>
      <c r="M9" s="14" t="s">
        <v>48</v>
      </c>
      <c r="N9">
        <v>115</v>
      </c>
      <c r="O9">
        <v>94</v>
      </c>
    </row>
    <row r="10" spans="1:15" ht="23" thickBot="1" x14ac:dyDescent="0.4">
      <c r="A10" s="14" t="s">
        <v>50</v>
      </c>
      <c r="B10" s="24">
        <v>88</v>
      </c>
      <c r="C10" s="24">
        <v>102</v>
      </c>
      <c r="D10" s="24">
        <v>110</v>
      </c>
      <c r="E10" s="46">
        <f t="shared" si="2"/>
        <v>100</v>
      </c>
      <c r="F10" s="47"/>
      <c r="G10" s="48"/>
      <c r="H10" s="15">
        <f t="shared" si="0"/>
        <v>94</v>
      </c>
      <c r="I10" s="25">
        <f t="shared" si="1"/>
        <v>1.0638297872340425</v>
      </c>
      <c r="K10" s="14" t="s">
        <v>50</v>
      </c>
      <c r="L10" s="14">
        <v>88</v>
      </c>
      <c r="M10" s="14" t="s">
        <v>49</v>
      </c>
      <c r="N10">
        <v>105</v>
      </c>
      <c r="O10">
        <v>94</v>
      </c>
    </row>
    <row r="11" spans="1:15" ht="24" customHeight="1" thickBot="1" x14ac:dyDescent="0.4">
      <c r="A11" s="14" t="s">
        <v>51</v>
      </c>
      <c r="B11" s="24">
        <v>85</v>
      </c>
      <c r="C11" s="24">
        <v>90</v>
      </c>
      <c r="D11" s="24">
        <v>95</v>
      </c>
      <c r="E11" s="46">
        <f t="shared" si="2"/>
        <v>90</v>
      </c>
      <c r="F11" s="47"/>
      <c r="G11" s="48"/>
      <c r="H11" s="15">
        <f t="shared" si="0"/>
        <v>94</v>
      </c>
      <c r="I11" s="25">
        <f t="shared" si="1"/>
        <v>0.95744680851063835</v>
      </c>
      <c r="K11" s="14" t="s">
        <v>51</v>
      </c>
      <c r="L11" s="14">
        <v>85</v>
      </c>
      <c r="M11" s="14" t="s">
        <v>50</v>
      </c>
      <c r="N11">
        <v>100</v>
      </c>
      <c r="O11">
        <v>94</v>
      </c>
    </row>
    <row r="12" spans="1:15" ht="23" thickBot="1" x14ac:dyDescent="0.4">
      <c r="A12" s="14" t="s">
        <v>52</v>
      </c>
      <c r="B12" s="24">
        <v>77</v>
      </c>
      <c r="C12" s="24">
        <v>78</v>
      </c>
      <c r="D12" s="24">
        <v>85</v>
      </c>
      <c r="E12" s="46">
        <f t="shared" si="2"/>
        <v>80</v>
      </c>
      <c r="F12" s="47"/>
      <c r="G12" s="48"/>
      <c r="H12" s="15">
        <f t="shared" si="0"/>
        <v>94</v>
      </c>
      <c r="I12" s="25">
        <f t="shared" si="1"/>
        <v>0.85106382978723405</v>
      </c>
      <c r="K12" s="14" t="s">
        <v>52</v>
      </c>
      <c r="L12" s="14">
        <v>77</v>
      </c>
      <c r="M12" s="14" t="s">
        <v>51</v>
      </c>
      <c r="N12">
        <v>90</v>
      </c>
      <c r="O12">
        <v>94</v>
      </c>
    </row>
    <row r="13" spans="1:15" ht="24" customHeight="1" thickBot="1" x14ac:dyDescent="0.4">
      <c r="A13" s="14" t="s">
        <v>53</v>
      </c>
      <c r="B13" s="24">
        <v>75</v>
      </c>
      <c r="C13" s="24">
        <v>82</v>
      </c>
      <c r="D13" s="24">
        <v>83</v>
      </c>
      <c r="E13" s="46">
        <f t="shared" si="2"/>
        <v>80</v>
      </c>
      <c r="F13" s="47"/>
      <c r="G13" s="48"/>
      <c r="H13" s="15">
        <f t="shared" si="0"/>
        <v>94</v>
      </c>
      <c r="I13" s="25">
        <f t="shared" si="1"/>
        <v>0.85106382978723405</v>
      </c>
      <c r="K13" s="14" t="s">
        <v>53</v>
      </c>
      <c r="L13" s="14">
        <v>75</v>
      </c>
      <c r="M13" s="14" t="s">
        <v>52</v>
      </c>
      <c r="N13">
        <v>80</v>
      </c>
      <c r="O13">
        <v>94</v>
      </c>
    </row>
    <row r="14" spans="1:15" ht="23" thickBot="1" x14ac:dyDescent="0.4">
      <c r="A14" s="14" t="s">
        <v>54</v>
      </c>
      <c r="B14" s="24">
        <v>82</v>
      </c>
      <c r="C14" s="24">
        <v>78</v>
      </c>
      <c r="D14" s="24">
        <v>80</v>
      </c>
      <c r="E14" s="46">
        <f t="shared" si="2"/>
        <v>80</v>
      </c>
      <c r="F14" s="47"/>
      <c r="G14" s="48"/>
      <c r="H14" s="15">
        <f t="shared" si="0"/>
        <v>94</v>
      </c>
      <c r="I14" s="25">
        <f t="shared" si="1"/>
        <v>0.85106382978723405</v>
      </c>
      <c r="K14" s="14" t="s">
        <v>54</v>
      </c>
      <c r="L14" s="14">
        <v>82</v>
      </c>
      <c r="M14" s="14" t="s">
        <v>53</v>
      </c>
      <c r="N14">
        <v>80</v>
      </c>
      <c r="O14">
        <v>94</v>
      </c>
    </row>
    <row r="15" spans="1:15" ht="23" thickBot="1" x14ac:dyDescent="0.4">
      <c r="B15" s="52" t="s">
        <v>55</v>
      </c>
      <c r="C15" s="52"/>
      <c r="D15" s="52"/>
      <c r="E15" s="46"/>
      <c r="F15" s="47"/>
      <c r="G15" s="48"/>
      <c r="H15" s="15">
        <v>94</v>
      </c>
      <c r="I15" s="17"/>
      <c r="K15" s="14" t="s">
        <v>43</v>
      </c>
      <c r="L15" s="14">
        <v>85</v>
      </c>
      <c r="M15" s="14" t="s">
        <v>54</v>
      </c>
      <c r="N15">
        <v>80</v>
      </c>
      <c r="O15">
        <v>94</v>
      </c>
    </row>
    <row r="16" spans="1:15" ht="18" thickBot="1" x14ac:dyDescent="0.4">
      <c r="B16">
        <f>SUM(B3:B14)</f>
        <v>1050</v>
      </c>
      <c r="C16">
        <f t="shared" ref="C16:D16" si="3">SUM(C3:C14)</f>
        <v>1130</v>
      </c>
      <c r="D16">
        <f t="shared" si="3"/>
        <v>1204</v>
      </c>
      <c r="K16" s="14" t="s">
        <v>44</v>
      </c>
      <c r="L16" s="14">
        <v>85</v>
      </c>
    </row>
    <row r="17" spans="1:12" ht="18" thickBot="1" x14ac:dyDescent="0.4">
      <c r="B17">
        <f>C16/B16</f>
        <v>1.0761904761904761</v>
      </c>
      <c r="C17">
        <f>D16/C16</f>
        <v>1.0654867256637168</v>
      </c>
      <c r="D17">
        <f>D16*1.07</f>
        <v>1288.28</v>
      </c>
      <c r="F17">
        <f>AVERAGE(B16:D16)</f>
        <v>1128</v>
      </c>
      <c r="K17" s="14" t="s">
        <v>45</v>
      </c>
      <c r="L17" s="14">
        <v>93</v>
      </c>
    </row>
    <row r="18" spans="1:12" ht="18" thickBot="1" x14ac:dyDescent="0.4">
      <c r="A18" t="s">
        <v>56</v>
      </c>
      <c r="K18" s="14" t="s">
        <v>46</v>
      </c>
      <c r="L18" s="14">
        <v>95</v>
      </c>
    </row>
    <row r="19" spans="1:12" ht="18" thickBot="1" x14ac:dyDescent="0.4">
      <c r="A19" s="18" t="s">
        <v>22</v>
      </c>
      <c r="B19" s="53" t="s">
        <v>58</v>
      </c>
      <c r="C19" s="53"/>
      <c r="D19" s="53"/>
      <c r="G19" t="s">
        <v>57</v>
      </c>
      <c r="K19" s="14" t="s">
        <v>47</v>
      </c>
      <c r="L19" s="14">
        <v>125</v>
      </c>
    </row>
    <row r="20" spans="1:12" ht="18" thickBot="1" x14ac:dyDescent="0.4">
      <c r="A20" s="19" t="s">
        <v>43</v>
      </c>
      <c r="B20" s="54">
        <f>E20*I3</f>
        <v>95.744680851063833</v>
      </c>
      <c r="C20" s="54"/>
      <c r="D20" s="54"/>
      <c r="E20" s="35">
        <f>F20</f>
        <v>100</v>
      </c>
      <c r="F20">
        <f>$H$20/12</f>
        <v>100</v>
      </c>
      <c r="H20">
        <v>1200</v>
      </c>
      <c r="K20" s="14" t="s">
        <v>48</v>
      </c>
      <c r="L20" s="14">
        <v>115</v>
      </c>
    </row>
    <row r="21" spans="1:12" ht="18" thickBot="1" x14ac:dyDescent="0.4">
      <c r="A21" s="19" t="s">
        <v>44</v>
      </c>
      <c r="B21" s="54">
        <f t="shared" ref="B21:B31" si="4">E21*I4</f>
        <v>85.106382978723403</v>
      </c>
      <c r="C21" s="54"/>
      <c r="D21" s="54"/>
      <c r="E21" s="35">
        <f>E20</f>
        <v>100</v>
      </c>
      <c r="K21" s="14" t="s">
        <v>49</v>
      </c>
      <c r="L21" s="14">
        <v>102</v>
      </c>
    </row>
    <row r="22" spans="1:12" ht="18" thickBot="1" x14ac:dyDescent="0.4">
      <c r="A22" s="19" t="s">
        <v>45</v>
      </c>
      <c r="B22" s="54">
        <f t="shared" si="4"/>
        <v>90.425531914893625</v>
      </c>
      <c r="C22" s="54"/>
      <c r="D22" s="54"/>
      <c r="E22" s="35">
        <f t="shared" ref="E22:E31" si="5">E21</f>
        <v>100</v>
      </c>
      <c r="K22" s="14" t="s">
        <v>50</v>
      </c>
      <c r="L22" s="14">
        <v>102</v>
      </c>
    </row>
    <row r="23" spans="1:12" ht="18" thickBot="1" x14ac:dyDescent="0.4">
      <c r="A23" s="19" t="s">
        <v>46</v>
      </c>
      <c r="B23" s="54">
        <f t="shared" si="4"/>
        <v>106.38297872340425</v>
      </c>
      <c r="C23" s="54"/>
      <c r="D23" s="54"/>
      <c r="E23" s="35">
        <f t="shared" si="5"/>
        <v>100</v>
      </c>
      <c r="K23" s="14" t="s">
        <v>51</v>
      </c>
      <c r="L23" s="14">
        <v>90</v>
      </c>
    </row>
    <row r="24" spans="1:12" ht="18" thickBot="1" x14ac:dyDescent="0.4">
      <c r="A24" s="19" t="s">
        <v>47</v>
      </c>
      <c r="B24" s="54">
        <f t="shared" si="4"/>
        <v>130.85106382978725</v>
      </c>
      <c r="C24" s="54"/>
      <c r="D24" s="54"/>
      <c r="E24" s="35">
        <f t="shared" si="5"/>
        <v>100</v>
      </c>
      <c r="K24" s="14" t="s">
        <v>52</v>
      </c>
      <c r="L24" s="14">
        <v>78</v>
      </c>
    </row>
    <row r="25" spans="1:12" ht="18" thickBot="1" x14ac:dyDescent="0.4">
      <c r="A25" s="19" t="s">
        <v>48</v>
      </c>
      <c r="B25" s="54">
        <f t="shared" si="4"/>
        <v>122.34042553191489</v>
      </c>
      <c r="C25" s="54"/>
      <c r="D25" s="54"/>
      <c r="E25" s="35">
        <f t="shared" si="5"/>
        <v>100</v>
      </c>
      <c r="K25" s="14" t="s">
        <v>53</v>
      </c>
      <c r="L25" s="14">
        <v>82</v>
      </c>
    </row>
    <row r="26" spans="1:12" ht="18" thickBot="1" x14ac:dyDescent="0.4">
      <c r="A26" s="19" t="s">
        <v>49</v>
      </c>
      <c r="B26" s="54">
        <f t="shared" si="4"/>
        <v>111.70212765957446</v>
      </c>
      <c r="C26" s="54"/>
      <c r="D26" s="54"/>
      <c r="E26" s="35">
        <f t="shared" si="5"/>
        <v>100</v>
      </c>
      <c r="K26" s="14" t="s">
        <v>54</v>
      </c>
      <c r="L26" s="14">
        <v>78</v>
      </c>
    </row>
    <row r="27" spans="1:12" ht="18" thickBot="1" x14ac:dyDescent="0.4">
      <c r="A27" s="19" t="s">
        <v>50</v>
      </c>
      <c r="B27" s="54">
        <f t="shared" si="4"/>
        <v>106.38297872340425</v>
      </c>
      <c r="C27" s="54"/>
      <c r="D27" s="54"/>
      <c r="E27" s="35">
        <f t="shared" si="5"/>
        <v>100</v>
      </c>
      <c r="K27" s="14" t="s">
        <v>43</v>
      </c>
      <c r="L27" s="14">
        <v>105</v>
      </c>
    </row>
    <row r="28" spans="1:12" ht="18" thickBot="1" x14ac:dyDescent="0.4">
      <c r="A28" s="19" t="s">
        <v>51</v>
      </c>
      <c r="B28" s="54">
        <f t="shared" si="4"/>
        <v>95.744680851063833</v>
      </c>
      <c r="C28" s="54"/>
      <c r="D28" s="54"/>
      <c r="E28" s="35">
        <f t="shared" si="5"/>
        <v>100</v>
      </c>
      <c r="K28" s="14" t="s">
        <v>44</v>
      </c>
      <c r="L28" s="14">
        <v>85</v>
      </c>
    </row>
    <row r="29" spans="1:12" ht="18" thickBot="1" x14ac:dyDescent="0.4">
      <c r="A29" s="19" t="s">
        <v>52</v>
      </c>
      <c r="B29" s="54">
        <f t="shared" si="4"/>
        <v>85.106382978723403</v>
      </c>
      <c r="C29" s="54"/>
      <c r="D29" s="54"/>
      <c r="E29" s="35">
        <f t="shared" si="5"/>
        <v>100</v>
      </c>
      <c r="K29" s="14" t="s">
        <v>45</v>
      </c>
      <c r="L29" s="14">
        <v>82</v>
      </c>
    </row>
    <row r="30" spans="1:12" ht="18" thickBot="1" x14ac:dyDescent="0.4">
      <c r="A30" s="19" t="s">
        <v>53</v>
      </c>
      <c r="B30" s="54">
        <f t="shared" si="4"/>
        <v>85.106382978723403</v>
      </c>
      <c r="C30" s="54"/>
      <c r="D30" s="54"/>
      <c r="E30" s="35">
        <f t="shared" si="5"/>
        <v>100</v>
      </c>
      <c r="K30" s="14" t="s">
        <v>46</v>
      </c>
      <c r="L30" s="14">
        <v>115</v>
      </c>
    </row>
    <row r="31" spans="1:12" ht="18" thickBot="1" x14ac:dyDescent="0.4">
      <c r="A31" s="19" t="s">
        <v>54</v>
      </c>
      <c r="B31" s="54">
        <f t="shared" si="4"/>
        <v>85.106382978723403</v>
      </c>
      <c r="C31" s="54"/>
      <c r="D31" s="54"/>
      <c r="E31" s="35">
        <f t="shared" si="5"/>
        <v>100</v>
      </c>
      <c r="K31" s="14" t="s">
        <v>47</v>
      </c>
      <c r="L31" s="14">
        <v>131</v>
      </c>
    </row>
    <row r="32" spans="1:12" ht="18" thickBot="1" x14ac:dyDescent="0.4">
      <c r="K32" s="14" t="s">
        <v>48</v>
      </c>
      <c r="L32" s="14">
        <v>120</v>
      </c>
    </row>
    <row r="33" spans="1:12" ht="18" thickBot="1" x14ac:dyDescent="0.4">
      <c r="K33" s="14" t="s">
        <v>49</v>
      </c>
      <c r="L33" s="14">
        <v>113</v>
      </c>
    </row>
    <row r="34" spans="1:12" ht="18.5" thickBot="1" x14ac:dyDescent="0.4">
      <c r="A34" s="9"/>
      <c r="B34" s="9"/>
      <c r="C34" s="9"/>
      <c r="D34" s="9"/>
      <c r="E34" s="16"/>
      <c r="K34" s="14" t="s">
        <v>50</v>
      </c>
      <c r="L34" s="14">
        <v>110</v>
      </c>
    </row>
    <row r="35" spans="1:12" ht="18" thickBot="1" x14ac:dyDescent="0.4">
      <c r="A35" s="14"/>
      <c r="B35" s="14"/>
      <c r="C35" s="14"/>
      <c r="D35" s="14"/>
      <c r="E35" s="54"/>
      <c r="F35" s="54"/>
      <c r="G35" s="54"/>
      <c r="K35" s="14" t="s">
        <v>51</v>
      </c>
      <c r="L35" s="14">
        <v>95</v>
      </c>
    </row>
    <row r="36" spans="1:12" ht="18" thickBot="1" x14ac:dyDescent="0.4">
      <c r="A36" s="14"/>
      <c r="B36" s="14"/>
      <c r="C36" s="14"/>
      <c r="D36" s="14"/>
      <c r="E36" s="54"/>
      <c r="F36" s="54"/>
      <c r="G36" s="54"/>
      <c r="K36" s="14" t="s">
        <v>52</v>
      </c>
      <c r="L36" s="14">
        <v>85</v>
      </c>
    </row>
    <row r="37" spans="1:12" ht="18" thickBot="1" x14ac:dyDescent="0.4">
      <c r="A37" s="14"/>
      <c r="B37" s="14"/>
      <c r="C37" s="14"/>
      <c r="D37" s="14"/>
      <c r="E37" s="54"/>
      <c r="F37" s="54"/>
      <c r="G37" s="54"/>
      <c r="K37" s="14" t="s">
        <v>53</v>
      </c>
      <c r="L37" s="14">
        <v>83</v>
      </c>
    </row>
    <row r="38" spans="1:12" ht="18" thickBot="1" x14ac:dyDescent="0.4">
      <c r="A38" s="14"/>
      <c r="B38" s="14"/>
      <c r="C38" s="14"/>
      <c r="D38" s="14"/>
      <c r="E38" s="54"/>
      <c r="F38" s="54"/>
      <c r="G38" s="54"/>
      <c r="K38" s="14" t="s">
        <v>54</v>
      </c>
      <c r="L38" s="14">
        <v>80</v>
      </c>
    </row>
    <row r="39" spans="1:12" ht="18" thickBot="1" x14ac:dyDescent="0.4">
      <c r="A39" s="14"/>
      <c r="B39" s="14"/>
      <c r="C39" s="14"/>
      <c r="D39" s="14"/>
      <c r="E39" s="54"/>
      <c r="F39" s="54"/>
      <c r="G39" s="54"/>
      <c r="K39" t="s">
        <v>43</v>
      </c>
      <c r="L39">
        <v>95.744680851063833</v>
      </c>
    </row>
    <row r="40" spans="1:12" ht="18" thickBot="1" x14ac:dyDescent="0.4">
      <c r="A40" s="14"/>
      <c r="B40" s="14"/>
      <c r="C40" s="14"/>
      <c r="D40" s="14"/>
      <c r="E40" s="54"/>
      <c r="F40" s="54"/>
      <c r="G40" s="54"/>
      <c r="K40" t="s">
        <v>44</v>
      </c>
      <c r="L40">
        <v>85.106382978723403</v>
      </c>
    </row>
    <row r="41" spans="1:12" ht="18" thickBot="1" x14ac:dyDescent="0.4">
      <c r="A41" s="14"/>
      <c r="B41" s="14"/>
      <c r="C41" s="14"/>
      <c r="D41" s="14"/>
      <c r="E41" s="54"/>
      <c r="F41" s="54"/>
      <c r="G41" s="54"/>
      <c r="K41" t="s">
        <v>45</v>
      </c>
      <c r="L41">
        <v>90.425531914893625</v>
      </c>
    </row>
    <row r="42" spans="1:12" ht="18" thickBot="1" x14ac:dyDescent="0.4">
      <c r="A42" s="14"/>
      <c r="B42" s="14"/>
      <c r="C42" s="14"/>
      <c r="D42" s="14"/>
      <c r="E42" s="54"/>
      <c r="F42" s="54"/>
      <c r="G42" s="54"/>
      <c r="K42" t="s">
        <v>46</v>
      </c>
      <c r="L42">
        <v>106.38297872340425</v>
      </c>
    </row>
    <row r="43" spans="1:12" ht="18" thickBot="1" x14ac:dyDescent="0.4">
      <c r="A43" s="14"/>
      <c r="B43" s="14"/>
      <c r="C43" s="14"/>
      <c r="D43" s="14"/>
      <c r="E43" s="54"/>
      <c r="F43" s="54"/>
      <c r="G43" s="54"/>
      <c r="K43" t="s">
        <v>47</v>
      </c>
      <c r="L43">
        <v>130.85106382978725</v>
      </c>
    </row>
    <row r="44" spans="1:12" ht="18" thickBot="1" x14ac:dyDescent="0.4">
      <c r="A44" s="14"/>
      <c r="B44" s="14"/>
      <c r="C44" s="14"/>
      <c r="D44" s="14"/>
      <c r="E44" s="54"/>
      <c r="F44" s="54"/>
      <c r="G44" s="54"/>
      <c r="K44" t="s">
        <v>48</v>
      </c>
      <c r="L44">
        <v>122.34042553191489</v>
      </c>
    </row>
    <row r="45" spans="1:12" ht="18" thickBot="1" x14ac:dyDescent="0.4">
      <c r="A45" s="14"/>
      <c r="B45" s="14"/>
      <c r="C45" s="14"/>
      <c r="D45" s="14"/>
      <c r="E45" s="54"/>
      <c r="F45" s="54"/>
      <c r="G45" s="54"/>
      <c r="K45" t="s">
        <v>49</v>
      </c>
      <c r="L45">
        <v>111.70212765957446</v>
      </c>
    </row>
    <row r="46" spans="1:12" ht="18" thickBot="1" x14ac:dyDescent="0.4">
      <c r="A46" s="14"/>
      <c r="B46" s="14"/>
      <c r="C46" s="14"/>
      <c r="D46" s="14"/>
      <c r="E46" s="54"/>
      <c r="F46" s="54"/>
      <c r="G46" s="54"/>
      <c r="K46" t="s">
        <v>50</v>
      </c>
      <c r="L46">
        <v>106.38297872340425</v>
      </c>
    </row>
    <row r="47" spans="1:12" x14ac:dyDescent="0.35">
      <c r="K47" t="s">
        <v>51</v>
      </c>
      <c r="L47">
        <v>95.744680851063833</v>
      </c>
    </row>
    <row r="48" spans="1:12" x14ac:dyDescent="0.35">
      <c r="K48" t="s">
        <v>52</v>
      </c>
      <c r="L48">
        <v>85.106382978723403</v>
      </c>
    </row>
    <row r="49" spans="11:12" x14ac:dyDescent="0.35">
      <c r="K49" t="s">
        <v>53</v>
      </c>
      <c r="L49">
        <v>85.106382978723403</v>
      </c>
    </row>
    <row r="50" spans="11:12" x14ac:dyDescent="0.35">
      <c r="K50" t="s">
        <v>54</v>
      </c>
      <c r="L50">
        <v>85.106382978723403</v>
      </c>
    </row>
  </sheetData>
  <mergeCells count="41">
    <mergeCell ref="E42:G42"/>
    <mergeCell ref="E43:G43"/>
    <mergeCell ref="E44:G44"/>
    <mergeCell ref="E45:G45"/>
    <mergeCell ref="E46:G46"/>
    <mergeCell ref="E41:G41"/>
    <mergeCell ref="B28:D28"/>
    <mergeCell ref="B29:D29"/>
    <mergeCell ref="B30:D30"/>
    <mergeCell ref="B31:D31"/>
    <mergeCell ref="E36:G36"/>
    <mergeCell ref="E37:G37"/>
    <mergeCell ref="E38:G38"/>
    <mergeCell ref="E39:G39"/>
    <mergeCell ref="E40:G40"/>
    <mergeCell ref="B19:D19"/>
    <mergeCell ref="E35:G35"/>
    <mergeCell ref="B20:D20"/>
    <mergeCell ref="B21:D21"/>
    <mergeCell ref="B22:D22"/>
    <mergeCell ref="B23:D23"/>
    <mergeCell ref="B24:D24"/>
    <mergeCell ref="B25:D25"/>
    <mergeCell ref="B26:D26"/>
    <mergeCell ref="B27:D27"/>
    <mergeCell ref="E14:G14"/>
    <mergeCell ref="E15:G15"/>
    <mergeCell ref="B15:D15"/>
    <mergeCell ref="E8:G8"/>
    <mergeCell ref="E9:G9"/>
    <mergeCell ref="E10:G10"/>
    <mergeCell ref="E11:G11"/>
    <mergeCell ref="E12:G12"/>
    <mergeCell ref="E13:G13"/>
    <mergeCell ref="E6:G6"/>
    <mergeCell ref="E7:G7"/>
    <mergeCell ref="B1:D1"/>
    <mergeCell ref="E2:G2"/>
    <mergeCell ref="E3:G3"/>
    <mergeCell ref="E4:G4"/>
    <mergeCell ref="E5:G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zoomScale="150" zoomScaleNormal="150" workbookViewId="0">
      <selection activeCell="G9" sqref="G9"/>
    </sheetView>
  </sheetViews>
  <sheetFormatPr defaultRowHeight="14.5" x14ac:dyDescent="0.35"/>
  <cols>
    <col min="2" max="2" width="17.81640625" bestFit="1" customWidth="1"/>
    <col min="3" max="3" width="11.453125" bestFit="1" customWidth="1"/>
    <col min="4" max="4" width="16.81640625" bestFit="1" customWidth="1"/>
    <col min="2000" max="2000" width="2.453125" customWidth="1"/>
  </cols>
  <sheetData>
    <row r="1" spans="1:5" ht="15.5" x14ac:dyDescent="0.35">
      <c r="A1" s="18" t="s">
        <v>22</v>
      </c>
      <c r="B1" s="20" t="s">
        <v>59</v>
      </c>
      <c r="C1" s="20" t="s">
        <v>60</v>
      </c>
      <c r="D1" s="20" t="s">
        <v>61</v>
      </c>
      <c r="E1" s="20" t="s">
        <v>4</v>
      </c>
    </row>
    <row r="2" spans="1:5" ht="15.5" x14ac:dyDescent="0.35">
      <c r="A2" s="19" t="s">
        <v>43</v>
      </c>
      <c r="B2" s="20">
        <v>67</v>
      </c>
      <c r="C2" s="20">
        <f>$B$15+$B$16*B2</f>
        <v>9530.5</v>
      </c>
      <c r="D2" s="20">
        <v>1.04</v>
      </c>
      <c r="E2" s="20">
        <f>C2*D2</f>
        <v>9911.7200000000012</v>
      </c>
    </row>
    <row r="3" spans="1:5" ht="15.5" x14ac:dyDescent="0.35">
      <c r="A3" s="19" t="s">
        <v>44</v>
      </c>
      <c r="B3" s="20">
        <v>68</v>
      </c>
      <c r="C3" s="20">
        <f>$B$15+$B$16*B3</f>
        <v>9552</v>
      </c>
      <c r="D3" s="20">
        <v>0.97</v>
      </c>
      <c r="E3" s="20">
        <f>C3*D3</f>
        <v>9265.44</v>
      </c>
    </row>
    <row r="4" spans="1:5" ht="15.5" x14ac:dyDescent="0.35">
      <c r="A4" s="19" t="s">
        <v>45</v>
      </c>
      <c r="B4" s="20">
        <v>69</v>
      </c>
      <c r="C4" s="20">
        <f t="shared" ref="C4:C13" si="0">$B$15+$B$16*B4</f>
        <v>9573.5</v>
      </c>
      <c r="D4" s="20">
        <v>1.02</v>
      </c>
      <c r="E4" s="20">
        <f t="shared" ref="E4:E13" si="1">C4*D4</f>
        <v>9764.9699999999993</v>
      </c>
    </row>
    <row r="5" spans="1:5" ht="15.5" x14ac:dyDescent="0.35">
      <c r="A5" s="19" t="s">
        <v>46</v>
      </c>
      <c r="B5" s="20">
        <v>70</v>
      </c>
      <c r="C5" s="20">
        <f t="shared" si="0"/>
        <v>9595</v>
      </c>
      <c r="D5" s="20">
        <v>1.01</v>
      </c>
      <c r="E5" s="20">
        <f t="shared" si="1"/>
        <v>9690.9500000000007</v>
      </c>
    </row>
    <row r="6" spans="1:5" ht="15.5" x14ac:dyDescent="0.35">
      <c r="A6" s="19" t="s">
        <v>47</v>
      </c>
      <c r="B6" s="20">
        <v>71</v>
      </c>
      <c r="C6" s="20">
        <f t="shared" si="0"/>
        <v>9616.5</v>
      </c>
      <c r="D6" s="20">
        <v>0.99</v>
      </c>
      <c r="E6" s="20">
        <f t="shared" si="1"/>
        <v>9520.3349999999991</v>
      </c>
    </row>
    <row r="7" spans="1:5" ht="15.5" x14ac:dyDescent="0.35">
      <c r="A7" s="19" t="s">
        <v>48</v>
      </c>
      <c r="B7" s="20">
        <v>72</v>
      </c>
      <c r="C7" s="20">
        <f t="shared" si="0"/>
        <v>9638</v>
      </c>
      <c r="D7" s="20">
        <v>0.99</v>
      </c>
      <c r="E7" s="20">
        <f t="shared" si="1"/>
        <v>9541.6200000000008</v>
      </c>
    </row>
    <row r="8" spans="1:5" ht="15.5" x14ac:dyDescent="0.35">
      <c r="A8" s="19" t="s">
        <v>49</v>
      </c>
      <c r="B8" s="20">
        <v>73</v>
      </c>
      <c r="C8" s="20">
        <f t="shared" si="0"/>
        <v>9659.5</v>
      </c>
      <c r="D8" s="20">
        <v>1.03</v>
      </c>
      <c r="E8" s="20">
        <f t="shared" si="1"/>
        <v>9949.2849999999999</v>
      </c>
    </row>
    <row r="9" spans="1:5" ht="15.5" x14ac:dyDescent="0.35">
      <c r="A9" s="19" t="s">
        <v>50</v>
      </c>
      <c r="B9" s="20">
        <v>74</v>
      </c>
      <c r="C9" s="20">
        <f t="shared" si="0"/>
        <v>9681</v>
      </c>
      <c r="D9" s="20">
        <v>1.04</v>
      </c>
      <c r="E9" s="20">
        <f t="shared" si="1"/>
        <v>10068.24</v>
      </c>
    </row>
    <row r="10" spans="1:5" ht="15.5" x14ac:dyDescent="0.35">
      <c r="A10" s="19" t="s">
        <v>51</v>
      </c>
      <c r="B10" s="20">
        <v>75</v>
      </c>
      <c r="C10" s="20">
        <f t="shared" si="0"/>
        <v>9702.5</v>
      </c>
      <c r="D10" s="20">
        <v>0.97</v>
      </c>
      <c r="E10" s="20">
        <f t="shared" si="1"/>
        <v>9411.4249999999993</v>
      </c>
    </row>
    <row r="11" spans="1:5" ht="15.5" x14ac:dyDescent="0.35">
      <c r="A11" s="19" t="s">
        <v>52</v>
      </c>
      <c r="B11" s="20">
        <v>76</v>
      </c>
      <c r="C11" s="20">
        <f t="shared" si="0"/>
        <v>9724</v>
      </c>
      <c r="D11" s="20">
        <v>1</v>
      </c>
      <c r="E11" s="20">
        <f t="shared" si="1"/>
        <v>9724</v>
      </c>
    </row>
    <row r="12" spans="1:5" ht="15.5" x14ac:dyDescent="0.35">
      <c r="A12" s="19" t="s">
        <v>53</v>
      </c>
      <c r="B12" s="20">
        <v>77</v>
      </c>
      <c r="C12" s="20">
        <f t="shared" si="0"/>
        <v>9745.5</v>
      </c>
      <c r="D12" s="20">
        <v>0.96</v>
      </c>
      <c r="E12" s="20">
        <f t="shared" si="1"/>
        <v>9355.68</v>
      </c>
    </row>
    <row r="13" spans="1:5" ht="15.5" x14ac:dyDescent="0.35">
      <c r="A13" s="19" t="s">
        <v>54</v>
      </c>
      <c r="B13" s="20">
        <v>78</v>
      </c>
      <c r="C13" s="20">
        <f t="shared" si="0"/>
        <v>9767</v>
      </c>
      <c r="D13" s="20">
        <v>0.98</v>
      </c>
      <c r="E13" s="20">
        <f t="shared" si="1"/>
        <v>9571.66</v>
      </c>
    </row>
    <row r="15" spans="1:5" ht="15.5" x14ac:dyDescent="0.35">
      <c r="A15" s="19" t="s">
        <v>1</v>
      </c>
      <c r="B15" s="3">
        <v>8090</v>
      </c>
      <c r="D15" s="21" t="s">
        <v>63</v>
      </c>
    </row>
    <row r="16" spans="1:5" ht="15.5" x14ac:dyDescent="0.35">
      <c r="A16" s="19" t="s">
        <v>0</v>
      </c>
      <c r="B16" s="3">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Averages</vt:lpstr>
      <vt:lpstr>Exp.Smoothing </vt:lpstr>
      <vt:lpstr>Forecasting Errors</vt:lpstr>
      <vt:lpstr>Double Exp.Smoothing (FIT)</vt:lpstr>
      <vt:lpstr>Trend Projection</vt:lpstr>
      <vt:lpstr>Trend Projection 2</vt:lpstr>
      <vt:lpstr>Seasonal Index </vt:lpstr>
      <vt:lpstr>Seasonality +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dc:creator>
  <cp:lastModifiedBy>Ahmad Hussain AlNasser</cp:lastModifiedBy>
  <dcterms:created xsi:type="dcterms:W3CDTF">2017-09-17T06:47:03Z</dcterms:created>
  <dcterms:modified xsi:type="dcterms:W3CDTF">2025-09-22T07:51:10Z</dcterms:modified>
</cp:coreProperties>
</file>