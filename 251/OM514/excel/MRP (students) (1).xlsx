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y Drive\KFUPM\Short Courses\SCM\Day 4\"/>
    </mc:Choice>
  </mc:AlternateContent>
  <xr:revisionPtr revIDLastSave="0" documentId="13_ncr:1_{E7B57B7E-2E20-4EA2-A6CC-B384D88C4889}" xr6:coauthVersionLast="47" xr6:coauthVersionMax="47" xr10:uidLastSave="{00000000-0000-0000-0000-000000000000}"/>
  <bookViews>
    <workbookView xWindow="-110" yWindow="-110" windowWidth="19420" windowHeight="10420" firstSheet="4" activeTab="6" xr2:uid="{00000000-000D-0000-FFFF-FFFF00000000}"/>
  </bookViews>
  <sheets>
    <sheet name="Disaggregation and MPS" sheetId="15" r:id="rId1"/>
    <sheet name="One level BOM" sheetId="13" r:id="rId2"/>
    <sheet name="Multilevel BOM" sheetId="14" r:id="rId3"/>
    <sheet name="Gross Requirement 1" sheetId="1" r:id="rId4"/>
    <sheet name="Gross Requirement 2" sheetId="2" r:id="rId5"/>
    <sheet name="Net Requirement " sheetId="3" r:id="rId6"/>
    <sheet name="Lot sizing method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D34" i="3"/>
  <c r="E28" i="3"/>
  <c r="E22" i="3"/>
  <c r="E24" i="3" s="1"/>
  <c r="E20" i="3"/>
  <c r="F16" i="3"/>
  <c r="P9" i="1" l="1"/>
  <c r="P8" i="1"/>
  <c r="P7" i="1"/>
  <c r="P4" i="1"/>
  <c r="P5" i="1"/>
  <c r="P6" i="1"/>
  <c r="O28" i="6" l="1"/>
  <c r="O27" i="6"/>
  <c r="O19" i="6"/>
  <c r="O18" i="6"/>
  <c r="O6" i="6"/>
  <c r="O8" i="6" s="1"/>
  <c r="O20" i="6" l="1"/>
  <c r="O29" i="6"/>
</calcChain>
</file>

<file path=xl/sharedStrings.xml><?xml version="1.0" encoding="utf-8"?>
<sst xmlns="http://schemas.openxmlformats.org/spreadsheetml/2006/main" count="203" uniqueCount="112">
  <si>
    <t xml:space="preserve">Component </t>
  </si>
  <si>
    <t>Lead Time</t>
  </si>
  <si>
    <t>A</t>
  </si>
  <si>
    <t>B</t>
  </si>
  <si>
    <t>C</t>
  </si>
  <si>
    <t>D</t>
  </si>
  <si>
    <t>E</t>
  </si>
  <si>
    <t>F</t>
  </si>
  <si>
    <t>G</t>
  </si>
  <si>
    <t>Demand</t>
  </si>
  <si>
    <t>50 A in week 8</t>
  </si>
  <si>
    <t>Order release date</t>
  </si>
  <si>
    <t>B(2)</t>
  </si>
  <si>
    <t>C(3)</t>
  </si>
  <si>
    <t>E(2)</t>
  </si>
  <si>
    <t>D(2)</t>
  </si>
  <si>
    <t>F(2)</t>
  </si>
  <si>
    <t>G(1)</t>
  </si>
  <si>
    <t>Weeks</t>
  </si>
  <si>
    <t>S</t>
  </si>
  <si>
    <t>T</t>
  </si>
  <si>
    <t>U(2)</t>
  </si>
  <si>
    <t>V</t>
  </si>
  <si>
    <t>W</t>
  </si>
  <si>
    <t>X</t>
  </si>
  <si>
    <t>W(2)</t>
  </si>
  <si>
    <t>Y</t>
  </si>
  <si>
    <t>Z</t>
  </si>
  <si>
    <t>Y(2)</t>
  </si>
  <si>
    <t>Z(3)</t>
  </si>
  <si>
    <t>Demand is 100 S in week 7</t>
  </si>
  <si>
    <t>U</t>
  </si>
  <si>
    <t>Lead time</t>
  </si>
  <si>
    <t>on hand inventory</t>
  </si>
  <si>
    <t>Net Requirement</t>
  </si>
  <si>
    <t>S: Gross requirement</t>
  </si>
  <si>
    <t>Order Release</t>
  </si>
  <si>
    <t>T: Gross requirement</t>
  </si>
  <si>
    <t>U: Gross requirement</t>
  </si>
  <si>
    <t>V: Gross requirement</t>
  </si>
  <si>
    <t>W: Gross requirement</t>
  </si>
  <si>
    <t>X: Gross requirement</t>
  </si>
  <si>
    <t>Y: Gross requirement</t>
  </si>
  <si>
    <t>Z: Gross requirement</t>
  </si>
  <si>
    <t>Item</t>
  </si>
  <si>
    <t>Oh hand</t>
  </si>
  <si>
    <t>Gross</t>
  </si>
  <si>
    <t>Planned order release</t>
  </si>
  <si>
    <t>Projected on hand 35</t>
  </si>
  <si>
    <t>Net requirements</t>
  </si>
  <si>
    <t>Planned order rec</t>
  </si>
  <si>
    <t>This is the demand for one component only</t>
  </si>
  <si>
    <t>Cost per order=$100</t>
  </si>
  <si>
    <t>Holding cost per week=$1</t>
  </si>
  <si>
    <t>Lead time = 1week</t>
  </si>
  <si>
    <t>Total ordering cost</t>
  </si>
  <si>
    <t>Total holding cost</t>
  </si>
  <si>
    <t xml:space="preserve">Total cost </t>
  </si>
  <si>
    <t>Gross Requirement</t>
  </si>
  <si>
    <t>POQ</t>
  </si>
  <si>
    <t>Lot-for-lot</t>
  </si>
  <si>
    <t xml:space="preserve">Gross Requirement </t>
  </si>
  <si>
    <t>Wooden legs</t>
  </si>
  <si>
    <t>Wooden Ends</t>
  </si>
  <si>
    <t>Wooden Sides</t>
  </si>
  <si>
    <t>Table Top</t>
  </si>
  <si>
    <t>Hardware Kit</t>
  </si>
  <si>
    <t>Table</t>
  </si>
  <si>
    <t>Items</t>
  </si>
  <si>
    <t>Gross Requirements</t>
  </si>
  <si>
    <t>Base</t>
  </si>
  <si>
    <t>Top</t>
  </si>
  <si>
    <t>Legs</t>
  </si>
  <si>
    <t>Legs Bolts</t>
  </si>
  <si>
    <t>Frame</t>
  </si>
  <si>
    <t>Boards</t>
  </si>
  <si>
    <t>Glue</t>
  </si>
  <si>
    <t>Sides</t>
  </si>
  <si>
    <t>Ends</t>
  </si>
  <si>
    <t>Legs Supports</t>
  </si>
  <si>
    <t>Ht</t>
  </si>
  <si>
    <t>Lt</t>
  </si>
  <si>
    <t>Wt</t>
  </si>
  <si>
    <t>Ot</t>
  </si>
  <si>
    <t>It</t>
  </si>
  <si>
    <t>St</t>
  </si>
  <si>
    <t>Ct</t>
  </si>
  <si>
    <t>Pt</t>
  </si>
  <si>
    <t>Period</t>
  </si>
  <si>
    <t># Hired</t>
  </si>
  <si>
    <t># Laid off</t>
  </si>
  <si>
    <t># Workforce</t>
  </si>
  <si>
    <t>Overtime</t>
  </si>
  <si>
    <t>Inventory</t>
  </si>
  <si>
    <t>Stockout</t>
  </si>
  <si>
    <t>Subcontract</t>
  </si>
  <si>
    <t>Production</t>
  </si>
  <si>
    <t>Family</t>
  </si>
  <si>
    <t>Percentage Share of Units Sold</t>
  </si>
  <si>
    <t>Units for January</t>
  </si>
  <si>
    <t>Levels</t>
  </si>
  <si>
    <t>S Required</t>
  </si>
  <si>
    <t>Release</t>
  </si>
  <si>
    <t>Scheduled Receipts</t>
  </si>
  <si>
    <r>
      <rPr>
        <b/>
        <sz val="11"/>
        <color rgb="FFFF0000"/>
        <rFont val="Calibri"/>
        <family val="2"/>
        <scheme val="minor"/>
      </rPr>
      <t>(A)</t>
    </r>
    <r>
      <rPr>
        <b/>
        <sz val="11"/>
        <color theme="1"/>
        <rFont val="Calibri"/>
        <family val="2"/>
        <scheme val="minor"/>
      </rPr>
      <t xml:space="preserve"> Required Date</t>
    </r>
  </si>
  <si>
    <r>
      <rPr>
        <b/>
        <sz val="11"/>
        <color rgb="FFFF0000"/>
        <rFont val="Calibri"/>
        <family val="2"/>
        <scheme val="minor"/>
      </rPr>
      <t>(B)</t>
    </r>
    <r>
      <rPr>
        <b/>
        <sz val="11"/>
        <color theme="1"/>
        <rFont val="Calibri"/>
        <family val="2"/>
        <scheme val="minor"/>
      </rPr>
      <t xml:space="preserve"> Required Date</t>
    </r>
  </si>
  <si>
    <r>
      <rPr>
        <b/>
        <sz val="11"/>
        <color rgb="FFFF0000"/>
        <rFont val="Calibri"/>
        <family val="2"/>
        <scheme val="minor"/>
      </rPr>
      <t>(C)</t>
    </r>
    <r>
      <rPr>
        <b/>
        <sz val="11"/>
        <color theme="1"/>
        <rFont val="Calibri"/>
        <family val="2"/>
        <scheme val="minor"/>
      </rPr>
      <t xml:space="preserve"> Required Date</t>
    </r>
  </si>
  <si>
    <r>
      <rPr>
        <b/>
        <sz val="11"/>
        <color rgb="FFFF0000"/>
        <rFont val="Calibri"/>
        <family val="2"/>
        <scheme val="minor"/>
      </rPr>
      <t>(E)</t>
    </r>
    <r>
      <rPr>
        <b/>
        <sz val="11"/>
        <color theme="1"/>
        <rFont val="Calibri"/>
        <family val="2"/>
        <scheme val="minor"/>
      </rPr>
      <t xml:space="preserve"> Required Date</t>
    </r>
  </si>
  <si>
    <r>
      <rPr>
        <b/>
        <sz val="11"/>
        <color rgb="FFFF0000"/>
        <rFont val="Calibri"/>
        <family val="2"/>
        <scheme val="minor"/>
      </rPr>
      <t>(F)</t>
    </r>
    <r>
      <rPr>
        <b/>
        <sz val="11"/>
        <color theme="1"/>
        <rFont val="Calibri"/>
        <family val="2"/>
        <scheme val="minor"/>
      </rPr>
      <t xml:space="preserve"> Required Date</t>
    </r>
  </si>
  <si>
    <r>
      <rPr>
        <b/>
        <sz val="11"/>
        <color rgb="FFFF0000"/>
        <rFont val="Calibri"/>
        <family val="2"/>
        <scheme val="minor"/>
      </rPr>
      <t>(D)</t>
    </r>
    <r>
      <rPr>
        <b/>
        <sz val="11"/>
        <color theme="1"/>
        <rFont val="Calibri"/>
        <family val="2"/>
        <scheme val="minor"/>
      </rPr>
      <t xml:space="preserve"> Required Date</t>
    </r>
  </si>
  <si>
    <r>
      <rPr>
        <b/>
        <sz val="11"/>
        <color rgb="FFFF0000"/>
        <rFont val="Calibri"/>
        <family val="2"/>
        <scheme val="minor"/>
      </rPr>
      <t>(G)</t>
    </r>
    <r>
      <rPr>
        <b/>
        <sz val="11"/>
        <color theme="1"/>
        <rFont val="Calibri"/>
        <family val="2"/>
        <scheme val="minor"/>
      </rPr>
      <t xml:space="preserve"> Required Date</t>
    </r>
  </si>
  <si>
    <t>EOQ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</si>
</sst>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/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3" fillId="4" borderId="16" xfId="0" applyFont="1" applyFill="1" applyBorder="1" applyAlignment="1">
      <alignment horizontal="center" wrapText="1"/>
    </xf>
    <xf numFmtId="0" fontId="3" fillId="2" borderId="17" xfId="0" applyFont="1" applyFill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0" fillId="0" borderId="21" xfId="0" applyBorder="1"/>
    <xf numFmtId="0" fontId="2" fillId="0" borderId="22" xfId="0" applyFont="1" applyBorder="1" applyAlignment="1">
      <alignment horizontal="center" wrapText="1"/>
    </xf>
    <xf numFmtId="0" fontId="2" fillId="2" borderId="23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3" fillId="0" borderId="30" xfId="0" applyFont="1" applyBorder="1" applyAlignment="1">
      <alignment horizontal="center" wrapText="1"/>
    </xf>
    <xf numFmtId="0" fontId="2" fillId="0" borderId="31" xfId="0" applyFont="1" applyBorder="1" applyAlignment="1">
      <alignment horizontal="center" wrapText="1"/>
    </xf>
    <xf numFmtId="0" fontId="2" fillId="0" borderId="32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3" fillId="0" borderId="25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107950</xdr:rowOff>
    </xdr:from>
    <xdr:to>
      <xdr:col>7</xdr:col>
      <xdr:colOff>80062</xdr:colOff>
      <xdr:row>15</xdr:row>
      <xdr:rowOff>48260</xdr:rowOff>
    </xdr:to>
    <xdr:pic>
      <xdr:nvPicPr>
        <xdr:cNvPr id="2" name="Picture 1" descr="A table shows the Simplified bill of material with 3 columns, and 6 rows.&#10;Long description is available in notes, press F6.">
          <a:extLst>
            <a:ext uri="{FF2B5EF4-FFF2-40B4-BE49-F238E27FC236}">
              <a16:creationId xmlns:a16="http://schemas.microsoft.com/office/drawing/2014/main" id="{C421ABA7-EFFA-4337-BF2A-4B9A5500BB42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7950"/>
          <a:ext cx="4321862" cy="2702560"/>
        </a:xfrm>
        <a:prstGeom prst="rect">
          <a:avLst/>
        </a:prstGeom>
      </xdr:spPr>
    </xdr:pic>
    <xdr:clientData/>
  </xdr:twoCellAnchor>
  <xdr:twoCellAnchor editAs="oneCell">
    <xdr:from>
      <xdr:col>7</xdr:col>
      <xdr:colOff>230324</xdr:colOff>
      <xdr:row>8</xdr:row>
      <xdr:rowOff>139700</xdr:rowOff>
    </xdr:from>
    <xdr:to>
      <xdr:col>15</xdr:col>
      <xdr:colOff>157480</xdr:colOff>
      <xdr:row>17</xdr:row>
      <xdr:rowOff>162878</xdr:rowOff>
    </xdr:to>
    <xdr:pic>
      <xdr:nvPicPr>
        <xdr:cNvPr id="3" name="Picture 2" descr="A tree diagram of a product.&#10;Long description is available in notes, press F6.">
          <a:extLst>
            <a:ext uri="{FF2B5EF4-FFF2-40B4-BE49-F238E27FC236}">
              <a16:creationId xmlns:a16="http://schemas.microsoft.com/office/drawing/2014/main" id="{F7BD47FE-5087-4FE4-861C-BCE0298E8E8D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7524" y="1612900"/>
          <a:ext cx="5718356" cy="16805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8</xdr:col>
      <xdr:colOff>37189</xdr:colOff>
      <xdr:row>16</xdr:row>
      <xdr:rowOff>76200</xdr:rowOff>
    </xdr:to>
    <xdr:pic>
      <xdr:nvPicPr>
        <xdr:cNvPr id="2" name="Picture 1" descr="A tree diagram of Multilevel bill.&#10;Long description is available in notes, press F6.">
          <a:extLst>
            <a:ext uri="{FF2B5EF4-FFF2-40B4-BE49-F238E27FC236}">
              <a16:creationId xmlns:a16="http://schemas.microsoft.com/office/drawing/2014/main" id="{98B3B2E9-27F9-45EB-943C-E35341B1D5A6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00"/>
          <a:ext cx="4913989" cy="30099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16</xdr:row>
      <xdr:rowOff>114300</xdr:rowOff>
    </xdr:from>
    <xdr:to>
      <xdr:col>8</xdr:col>
      <xdr:colOff>387350</xdr:colOff>
      <xdr:row>43</xdr:row>
      <xdr:rowOff>14288</xdr:rowOff>
    </xdr:to>
    <xdr:pic>
      <xdr:nvPicPr>
        <xdr:cNvPr id="3" name="Picture 2" descr="A table shows the Indented bill of material with 3 columns, and 12 rows.&#10;Long description is available in notes, press F6.">
          <a:extLst>
            <a:ext uri="{FF2B5EF4-FFF2-40B4-BE49-F238E27FC236}">
              <a16:creationId xmlns:a16="http://schemas.microsoft.com/office/drawing/2014/main" id="{54382F7B-9DC0-49B5-B285-122002A360E3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060700"/>
          <a:ext cx="5238750" cy="4872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415F-0610-42C0-9A0A-4C441623B79A}">
  <dimension ref="A2:J22"/>
  <sheetViews>
    <sheetView topLeftCell="A14" zoomScale="130" zoomScaleNormal="130" workbookViewId="0">
      <selection activeCell="D23" sqref="D23"/>
    </sheetView>
  </sheetViews>
  <sheetFormatPr defaultRowHeight="14.5" x14ac:dyDescent="0.35"/>
  <cols>
    <col min="1" max="1" width="6.1796875" bestFit="1" customWidth="1"/>
    <col min="2" max="2" width="26.7265625" bestFit="1" customWidth="1"/>
    <col min="3" max="3" width="15.08984375" bestFit="1" customWidth="1"/>
    <col min="4" max="4" width="11.08984375" bestFit="1" customWidth="1"/>
    <col min="5" max="5" width="8.54296875" bestFit="1" customWidth="1"/>
    <col min="6" max="6" width="8.81640625" bestFit="1" customWidth="1"/>
    <col min="7" max="7" width="8" bestFit="1" customWidth="1"/>
    <col min="8" max="8" width="10.7265625" bestFit="1" customWidth="1"/>
    <col min="9" max="9" width="9.90625" bestFit="1" customWidth="1"/>
    <col min="10" max="10" width="7.90625" bestFit="1" customWidth="1"/>
  </cols>
  <sheetData>
    <row r="2" spans="1:10" x14ac:dyDescent="0.35">
      <c r="A2" s="2"/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/>
    </row>
    <row r="3" spans="1:10" x14ac:dyDescent="0.35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</v>
      </c>
    </row>
    <row r="4" spans="1:10" x14ac:dyDescent="0.35">
      <c r="A4" s="2">
        <v>0</v>
      </c>
      <c r="B4" s="2">
        <v>0</v>
      </c>
      <c r="C4" s="2">
        <v>0</v>
      </c>
      <c r="D4" s="2">
        <v>80</v>
      </c>
      <c r="E4" s="2">
        <v>0</v>
      </c>
      <c r="F4" s="2">
        <v>1000</v>
      </c>
      <c r="G4" s="2">
        <v>0</v>
      </c>
      <c r="H4" s="2">
        <v>0</v>
      </c>
      <c r="I4" s="2"/>
      <c r="J4" s="2"/>
    </row>
    <row r="5" spans="1:10" x14ac:dyDescent="0.35">
      <c r="A5" s="2">
        <v>1</v>
      </c>
      <c r="B5" s="2">
        <v>0</v>
      </c>
      <c r="C5" s="2">
        <v>0</v>
      </c>
      <c r="D5" s="2">
        <v>80</v>
      </c>
      <c r="E5" s="2">
        <v>0</v>
      </c>
      <c r="F5" s="2">
        <v>2600</v>
      </c>
      <c r="G5" s="2">
        <v>0</v>
      </c>
      <c r="H5" s="2">
        <v>0</v>
      </c>
      <c r="I5" s="2">
        <v>3200</v>
      </c>
      <c r="J5" s="2">
        <v>1600</v>
      </c>
    </row>
    <row r="6" spans="1:10" x14ac:dyDescent="0.35">
      <c r="A6" s="2">
        <v>2</v>
      </c>
      <c r="B6" s="2">
        <v>0</v>
      </c>
      <c r="C6" s="2">
        <v>0</v>
      </c>
      <c r="D6" s="2">
        <v>80</v>
      </c>
      <c r="E6" s="2">
        <v>0</v>
      </c>
      <c r="F6" s="2">
        <v>2800</v>
      </c>
      <c r="G6" s="2">
        <v>0</v>
      </c>
      <c r="H6" s="2">
        <v>0</v>
      </c>
      <c r="I6" s="2">
        <v>3200</v>
      </c>
      <c r="J6" s="2">
        <v>3000</v>
      </c>
    </row>
    <row r="7" spans="1:10" x14ac:dyDescent="0.35">
      <c r="A7" s="2">
        <v>3</v>
      </c>
      <c r="B7" s="2">
        <v>0</v>
      </c>
      <c r="C7" s="2">
        <v>0</v>
      </c>
      <c r="D7" s="2">
        <v>80</v>
      </c>
      <c r="E7" s="2">
        <v>0</v>
      </c>
      <c r="F7" s="2">
        <v>2800</v>
      </c>
      <c r="G7" s="2">
        <v>0</v>
      </c>
      <c r="H7" s="2">
        <v>0</v>
      </c>
      <c r="I7" s="2">
        <v>3200</v>
      </c>
      <c r="J7" s="2">
        <v>3200</v>
      </c>
    </row>
    <row r="8" spans="1:10" x14ac:dyDescent="0.35">
      <c r="A8" s="2">
        <v>4</v>
      </c>
      <c r="B8" s="2">
        <v>0</v>
      </c>
      <c r="C8" s="2">
        <v>0</v>
      </c>
      <c r="D8" s="2">
        <v>80</v>
      </c>
      <c r="E8" s="2">
        <v>0</v>
      </c>
      <c r="F8" s="2">
        <v>0</v>
      </c>
      <c r="G8" s="2">
        <v>1500</v>
      </c>
      <c r="H8" s="2">
        <v>2500</v>
      </c>
      <c r="I8" s="2">
        <v>3200</v>
      </c>
      <c r="J8" s="2">
        <v>10000</v>
      </c>
    </row>
    <row r="9" spans="1:10" x14ac:dyDescent="0.35">
      <c r="A9" s="2">
        <v>5</v>
      </c>
      <c r="B9" s="2">
        <v>0</v>
      </c>
      <c r="C9" s="2">
        <v>0</v>
      </c>
      <c r="D9" s="2">
        <v>80</v>
      </c>
      <c r="E9" s="2">
        <v>0</v>
      </c>
      <c r="F9" s="2">
        <v>0</v>
      </c>
      <c r="G9" s="2">
        <v>500</v>
      </c>
      <c r="H9" s="2">
        <v>0</v>
      </c>
      <c r="I9" s="2">
        <v>3200</v>
      </c>
      <c r="J9" s="2">
        <v>2200</v>
      </c>
    </row>
    <row r="10" spans="1:10" x14ac:dyDescent="0.35">
      <c r="A10" s="2">
        <v>6</v>
      </c>
      <c r="B10" s="2">
        <v>0</v>
      </c>
      <c r="C10" s="2">
        <v>0</v>
      </c>
      <c r="D10" s="2">
        <v>80</v>
      </c>
      <c r="E10" s="2">
        <v>0</v>
      </c>
      <c r="F10" s="2">
        <v>500</v>
      </c>
      <c r="G10" s="2">
        <v>0</v>
      </c>
      <c r="H10" s="2">
        <v>0</v>
      </c>
      <c r="I10" s="2">
        <v>3200</v>
      </c>
      <c r="J10" s="2">
        <v>2200</v>
      </c>
    </row>
    <row r="12" spans="1:10" x14ac:dyDescent="0.35">
      <c r="A12" s="7" t="s">
        <v>97</v>
      </c>
      <c r="B12" s="7" t="s">
        <v>98</v>
      </c>
      <c r="C12" s="7" t="s">
        <v>99</v>
      </c>
    </row>
    <row r="13" spans="1:10" x14ac:dyDescent="0.35">
      <c r="A13" s="7" t="s">
        <v>2</v>
      </c>
      <c r="B13" s="19">
        <v>0.1</v>
      </c>
      <c r="C13" s="2"/>
    </row>
    <row r="14" spans="1:10" x14ac:dyDescent="0.35">
      <c r="A14" s="7" t="s">
        <v>3</v>
      </c>
      <c r="B14" s="19">
        <v>0.25</v>
      </c>
      <c r="C14" s="2"/>
    </row>
    <row r="15" spans="1:10" x14ac:dyDescent="0.35">
      <c r="A15" s="7" t="s">
        <v>4</v>
      </c>
      <c r="B15" s="19">
        <v>0.2</v>
      </c>
      <c r="C15" s="2"/>
    </row>
    <row r="16" spans="1:10" x14ac:dyDescent="0.35">
      <c r="A16" s="7" t="s">
        <v>5</v>
      </c>
      <c r="B16" s="19">
        <v>0.1</v>
      </c>
      <c r="C16" s="2"/>
    </row>
    <row r="17" spans="1:7" x14ac:dyDescent="0.35">
      <c r="A17" s="7" t="s">
        <v>6</v>
      </c>
      <c r="B17" s="19">
        <v>0.2</v>
      </c>
      <c r="C17" s="2"/>
    </row>
    <row r="18" spans="1:7" x14ac:dyDescent="0.35">
      <c r="A18" s="7" t="s">
        <v>7</v>
      </c>
      <c r="B18" s="19">
        <v>0.15</v>
      </c>
      <c r="C18" s="2"/>
    </row>
    <row r="20" spans="1:7" x14ac:dyDescent="0.35">
      <c r="C20" s="2"/>
      <c r="D20" s="20" t="s">
        <v>18</v>
      </c>
      <c r="E20" s="20"/>
      <c r="F20" s="20"/>
      <c r="G20" s="20"/>
    </row>
    <row r="21" spans="1:7" x14ac:dyDescent="0.35">
      <c r="C21" s="2" t="s">
        <v>97</v>
      </c>
      <c r="D21" s="2">
        <v>1</v>
      </c>
      <c r="E21" s="2">
        <v>2</v>
      </c>
      <c r="F21" s="2">
        <v>3</v>
      </c>
      <c r="G21" s="2">
        <v>4</v>
      </c>
    </row>
    <row r="22" spans="1:7" x14ac:dyDescent="0.35">
      <c r="C22" s="2" t="s">
        <v>2</v>
      </c>
      <c r="D22" s="2"/>
      <c r="E22" s="2"/>
      <c r="F22" s="2"/>
      <c r="G22" s="2"/>
    </row>
  </sheetData>
  <mergeCells count="1">
    <mergeCell ref="D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D21A-BAE9-4F89-B84D-E0CBEF07E200}">
  <dimension ref="J2:K8"/>
  <sheetViews>
    <sheetView workbookViewId="0">
      <selection activeCell="K3" sqref="K3:K8"/>
    </sheetView>
  </sheetViews>
  <sheetFormatPr defaultRowHeight="14.5" x14ac:dyDescent="0.35"/>
  <cols>
    <col min="10" max="10" width="12.7265625" bestFit="1" customWidth="1"/>
    <col min="11" max="11" width="17.81640625" bestFit="1" customWidth="1"/>
  </cols>
  <sheetData>
    <row r="2" spans="10:11" x14ac:dyDescent="0.35">
      <c r="J2" s="16" t="s">
        <v>68</v>
      </c>
      <c r="K2" s="16" t="s">
        <v>69</v>
      </c>
    </row>
    <row r="3" spans="10:11" x14ac:dyDescent="0.35">
      <c r="J3" s="17" t="s">
        <v>67</v>
      </c>
      <c r="K3" s="2"/>
    </row>
    <row r="4" spans="10:11" x14ac:dyDescent="0.35">
      <c r="J4" s="17" t="s">
        <v>62</v>
      </c>
      <c r="K4" s="2"/>
    </row>
    <row r="5" spans="10:11" x14ac:dyDescent="0.35">
      <c r="J5" s="17" t="s">
        <v>63</v>
      </c>
      <c r="K5" s="2"/>
    </row>
    <row r="6" spans="10:11" x14ac:dyDescent="0.35">
      <c r="J6" s="17" t="s">
        <v>64</v>
      </c>
      <c r="K6" s="2"/>
    </row>
    <row r="7" spans="10:11" x14ac:dyDescent="0.35">
      <c r="J7" s="17" t="s">
        <v>65</v>
      </c>
      <c r="K7" s="2"/>
    </row>
    <row r="8" spans="10:11" x14ac:dyDescent="0.35">
      <c r="J8" s="17" t="s">
        <v>66</v>
      </c>
      <c r="K8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EE3C-D7E1-48B2-B8DF-3AD39F8CD364}">
  <dimension ref="K2:L14"/>
  <sheetViews>
    <sheetView workbookViewId="0">
      <selection activeCell="J18" sqref="J18"/>
    </sheetView>
  </sheetViews>
  <sheetFormatPr defaultRowHeight="14.5" x14ac:dyDescent="0.35"/>
  <cols>
    <col min="11" max="11" width="12.26953125" bestFit="1" customWidth="1"/>
    <col min="12" max="12" width="17" bestFit="1" customWidth="1"/>
  </cols>
  <sheetData>
    <row r="2" spans="11:12" x14ac:dyDescent="0.35">
      <c r="K2" s="16" t="s">
        <v>44</v>
      </c>
      <c r="L2" s="16" t="s">
        <v>58</v>
      </c>
    </row>
    <row r="3" spans="11:12" x14ac:dyDescent="0.35">
      <c r="K3" s="17" t="s">
        <v>67</v>
      </c>
      <c r="L3" s="2"/>
    </row>
    <row r="4" spans="11:12" x14ac:dyDescent="0.35">
      <c r="K4" s="17" t="s">
        <v>70</v>
      </c>
      <c r="L4" s="2"/>
    </row>
    <row r="5" spans="11:12" x14ac:dyDescent="0.35">
      <c r="K5" s="17" t="s">
        <v>71</v>
      </c>
      <c r="L5" s="2"/>
    </row>
    <row r="6" spans="11:12" x14ac:dyDescent="0.35">
      <c r="K6" s="17" t="s">
        <v>72</v>
      </c>
      <c r="L6" s="2"/>
    </row>
    <row r="7" spans="11:12" x14ac:dyDescent="0.35">
      <c r="K7" s="17" t="s">
        <v>73</v>
      </c>
      <c r="L7" s="2"/>
    </row>
    <row r="8" spans="11:12" x14ac:dyDescent="0.35">
      <c r="K8" s="17" t="s">
        <v>74</v>
      </c>
      <c r="L8" s="2"/>
    </row>
    <row r="9" spans="11:12" x14ac:dyDescent="0.35">
      <c r="K9" s="17" t="s">
        <v>75</v>
      </c>
      <c r="L9" s="2"/>
    </row>
    <row r="10" spans="11:12" x14ac:dyDescent="0.35">
      <c r="K10" s="18" t="s">
        <v>76</v>
      </c>
      <c r="L10" s="2"/>
    </row>
    <row r="11" spans="11:12" x14ac:dyDescent="0.35">
      <c r="K11" s="17" t="s">
        <v>77</v>
      </c>
      <c r="L11" s="2"/>
    </row>
    <row r="12" spans="11:12" x14ac:dyDescent="0.35">
      <c r="K12" s="17" t="s">
        <v>78</v>
      </c>
      <c r="L12" s="2"/>
    </row>
    <row r="13" spans="11:12" x14ac:dyDescent="0.35">
      <c r="K13" s="17" t="s">
        <v>79</v>
      </c>
      <c r="L13" s="2"/>
    </row>
    <row r="14" spans="11:12" x14ac:dyDescent="0.35">
      <c r="K14" s="18" t="s">
        <v>76</v>
      </c>
      <c r="L14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opLeftCell="A10" zoomScale="140" zoomScaleNormal="140" workbookViewId="0">
      <selection activeCell="A22" sqref="A22"/>
    </sheetView>
  </sheetViews>
  <sheetFormatPr defaultRowHeight="14.5" x14ac:dyDescent="0.35"/>
  <cols>
    <col min="1" max="1" width="17.81640625" bestFit="1" customWidth="1"/>
    <col min="2" max="2" width="13.7265625" bestFit="1" customWidth="1"/>
    <col min="5" max="5" width="13.7265625" bestFit="1" customWidth="1"/>
    <col min="10" max="10" width="10" bestFit="1" customWidth="1"/>
    <col min="16" max="16" width="17.453125" bestFit="1" customWidth="1"/>
  </cols>
  <sheetData>
    <row r="1" spans="1:16" x14ac:dyDescent="0.35">
      <c r="A1" s="2" t="s">
        <v>0</v>
      </c>
      <c r="B1" s="2" t="s">
        <v>1</v>
      </c>
    </row>
    <row r="2" spans="1:16" x14ac:dyDescent="0.35">
      <c r="A2" s="2" t="s">
        <v>2</v>
      </c>
      <c r="B2" s="2">
        <v>1</v>
      </c>
      <c r="P2" t="s">
        <v>61</v>
      </c>
    </row>
    <row r="3" spans="1:16" x14ac:dyDescent="0.35">
      <c r="A3" s="2" t="s">
        <v>3</v>
      </c>
      <c r="B3" s="2">
        <v>2</v>
      </c>
      <c r="D3" s="1"/>
      <c r="H3" t="s">
        <v>100</v>
      </c>
      <c r="O3" s="7" t="s">
        <v>2</v>
      </c>
      <c r="P3" s="7">
        <v>50</v>
      </c>
    </row>
    <row r="4" spans="1:16" x14ac:dyDescent="0.35">
      <c r="A4" s="2" t="s">
        <v>4</v>
      </c>
      <c r="B4" s="2">
        <v>1</v>
      </c>
      <c r="H4" s="7">
        <v>0</v>
      </c>
      <c r="I4" s="7"/>
      <c r="J4" s="7"/>
      <c r="K4" s="7" t="s">
        <v>2</v>
      </c>
      <c r="L4" s="7"/>
      <c r="M4" s="7"/>
      <c r="N4" s="12"/>
      <c r="O4" s="7" t="s">
        <v>3</v>
      </c>
      <c r="P4" s="7">
        <f>2*50</f>
        <v>100</v>
      </c>
    </row>
    <row r="5" spans="1:16" x14ac:dyDescent="0.35">
      <c r="A5" s="2" t="s">
        <v>5</v>
      </c>
      <c r="B5" s="2">
        <v>1</v>
      </c>
      <c r="H5" s="7">
        <v>1</v>
      </c>
      <c r="I5" s="22" t="s">
        <v>12</v>
      </c>
      <c r="J5" s="23"/>
      <c r="K5" s="7"/>
      <c r="L5" s="22" t="s">
        <v>13</v>
      </c>
      <c r="M5" s="23"/>
      <c r="N5" s="12"/>
      <c r="O5" s="7" t="s">
        <v>4</v>
      </c>
      <c r="P5" s="7">
        <f>3*50</f>
        <v>150</v>
      </c>
    </row>
    <row r="6" spans="1:16" x14ac:dyDescent="0.35">
      <c r="A6" s="2" t="s">
        <v>6</v>
      </c>
      <c r="B6" s="2">
        <v>2</v>
      </c>
      <c r="H6" s="7">
        <v>2</v>
      </c>
      <c r="I6" s="7" t="s">
        <v>15</v>
      </c>
      <c r="J6" s="7" t="s">
        <v>14</v>
      </c>
      <c r="K6" s="7"/>
      <c r="L6" s="7" t="s">
        <v>14</v>
      </c>
      <c r="M6" s="22" t="s">
        <v>16</v>
      </c>
      <c r="N6" s="23"/>
      <c r="O6" s="7" t="s">
        <v>5</v>
      </c>
      <c r="P6" s="7">
        <f>2*2*50+2*2*3*50</f>
        <v>800</v>
      </c>
    </row>
    <row r="7" spans="1:16" ht="15" thickBot="1" x14ac:dyDescent="0.4">
      <c r="A7" s="2" t="s">
        <v>7</v>
      </c>
      <c r="B7" s="2">
        <v>3</v>
      </c>
      <c r="H7" s="7">
        <v>3</v>
      </c>
      <c r="I7" s="7"/>
      <c r="J7" s="7"/>
      <c r="K7" s="7"/>
      <c r="L7" s="7"/>
      <c r="M7" s="7" t="s">
        <v>17</v>
      </c>
      <c r="N7" s="12" t="s">
        <v>15</v>
      </c>
      <c r="O7" s="7" t="s">
        <v>6</v>
      </c>
      <c r="P7" s="7">
        <f>2*2*50+2*3*50</f>
        <v>500</v>
      </c>
    </row>
    <row r="8" spans="1:16" ht="15" thickBot="1" x14ac:dyDescent="0.4">
      <c r="A8" s="2" t="s">
        <v>8</v>
      </c>
      <c r="B8" s="2">
        <v>2</v>
      </c>
      <c r="D8" s="3" t="s">
        <v>9</v>
      </c>
      <c r="E8" s="4" t="s">
        <v>10</v>
      </c>
      <c r="O8" s="7" t="s">
        <v>7</v>
      </c>
      <c r="P8" s="7">
        <f>2*3*50</f>
        <v>300</v>
      </c>
    </row>
    <row r="9" spans="1:16" x14ac:dyDescent="0.35">
      <c r="O9" s="7" t="s">
        <v>8</v>
      </c>
      <c r="P9" s="7">
        <f>1*2*3*50</f>
        <v>300</v>
      </c>
    </row>
    <row r="10" spans="1:16" x14ac:dyDescent="0.35">
      <c r="B10" s="21" t="s">
        <v>18</v>
      </c>
      <c r="C10" s="21"/>
      <c r="D10" s="21"/>
      <c r="E10" s="21"/>
      <c r="F10" s="21"/>
      <c r="G10" s="21"/>
      <c r="H10" s="21"/>
      <c r="I10" s="21"/>
    </row>
    <row r="11" spans="1:16" x14ac:dyDescent="0.35"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 t="s">
        <v>1</v>
      </c>
    </row>
    <row r="12" spans="1:16" x14ac:dyDescent="0.35">
      <c r="A12" s="6" t="s">
        <v>104</v>
      </c>
      <c r="B12" s="5"/>
      <c r="C12" s="5"/>
      <c r="D12" s="5"/>
      <c r="E12" s="5"/>
      <c r="F12" s="5"/>
      <c r="G12" s="5"/>
      <c r="H12" s="5"/>
      <c r="I12" s="5"/>
      <c r="J12" s="5">
        <v>1</v>
      </c>
    </row>
    <row r="13" spans="1:16" x14ac:dyDescent="0.35">
      <c r="A13" s="6" t="s">
        <v>11</v>
      </c>
      <c r="B13" s="5"/>
      <c r="C13" s="5"/>
      <c r="D13" s="5"/>
      <c r="E13" s="5"/>
      <c r="F13" s="5"/>
      <c r="G13" s="5"/>
      <c r="H13" s="5"/>
      <c r="I13" s="5"/>
      <c r="J13" s="5"/>
    </row>
    <row r="14" spans="1:16" x14ac:dyDescent="0.35">
      <c r="A14" s="7" t="s">
        <v>105</v>
      </c>
      <c r="B14" s="2"/>
      <c r="C14" s="2"/>
      <c r="D14" s="2"/>
      <c r="E14" s="2"/>
      <c r="F14" s="2"/>
      <c r="G14" s="2"/>
      <c r="H14" s="2"/>
      <c r="I14" s="2"/>
      <c r="J14" s="2">
        <v>2</v>
      </c>
    </row>
    <row r="15" spans="1:16" x14ac:dyDescent="0.35">
      <c r="A15" s="7" t="s">
        <v>11</v>
      </c>
      <c r="B15" s="2"/>
      <c r="C15" s="2"/>
      <c r="D15" s="2"/>
      <c r="E15" s="2"/>
      <c r="F15" s="2"/>
      <c r="G15" s="2"/>
      <c r="H15" s="2"/>
      <c r="I15" s="2"/>
      <c r="J15" s="2"/>
    </row>
    <row r="16" spans="1:16" x14ac:dyDescent="0.35">
      <c r="A16" s="6" t="s">
        <v>106</v>
      </c>
      <c r="B16" s="5"/>
      <c r="C16" s="5"/>
      <c r="D16" s="5"/>
      <c r="E16" s="5"/>
      <c r="F16" s="5"/>
      <c r="G16" s="5"/>
      <c r="H16" s="5"/>
      <c r="I16" s="5"/>
      <c r="J16" s="5">
        <v>1</v>
      </c>
    </row>
    <row r="17" spans="1:10" x14ac:dyDescent="0.35">
      <c r="A17" s="6" t="s">
        <v>11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35">
      <c r="A18" s="7" t="s">
        <v>107</v>
      </c>
      <c r="B18" s="2"/>
      <c r="C18" s="2"/>
      <c r="D18" s="2"/>
      <c r="E18" s="2"/>
      <c r="F18" s="2"/>
      <c r="G18" s="2"/>
      <c r="H18" s="2"/>
      <c r="I18" s="2"/>
      <c r="J18" s="2">
        <v>2</v>
      </c>
    </row>
    <row r="19" spans="1:10" x14ac:dyDescent="0.35">
      <c r="A19" s="7" t="s">
        <v>11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6" t="s">
        <v>108</v>
      </c>
      <c r="B20" s="5"/>
      <c r="C20" s="5"/>
      <c r="D20" s="5"/>
      <c r="E20" s="5"/>
      <c r="F20" s="5"/>
      <c r="G20" s="5"/>
      <c r="H20" s="5"/>
      <c r="I20" s="5"/>
      <c r="J20" s="5">
        <v>3</v>
      </c>
    </row>
    <row r="21" spans="1:10" x14ac:dyDescent="0.35">
      <c r="A21" s="6" t="s">
        <v>11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35">
      <c r="A22" s="7" t="s">
        <v>109</v>
      </c>
      <c r="B22" s="2"/>
      <c r="C22" s="2"/>
      <c r="D22" s="2"/>
      <c r="E22" s="2"/>
      <c r="F22" s="2"/>
      <c r="G22" s="2"/>
      <c r="H22" s="2"/>
      <c r="I22" s="2"/>
      <c r="J22" s="2">
        <v>1</v>
      </c>
    </row>
    <row r="23" spans="1:10" x14ac:dyDescent="0.35">
      <c r="A23" s="7" t="s">
        <v>11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6" t="s">
        <v>110</v>
      </c>
      <c r="B24" s="5"/>
      <c r="C24" s="5"/>
      <c r="D24" s="5"/>
      <c r="E24" s="5"/>
      <c r="F24" s="5"/>
      <c r="G24" s="5"/>
      <c r="H24" s="5"/>
      <c r="I24" s="5"/>
      <c r="J24" s="5">
        <v>2</v>
      </c>
    </row>
    <row r="25" spans="1:10" x14ac:dyDescent="0.35">
      <c r="A25" s="6" t="s">
        <v>11</v>
      </c>
      <c r="B25" s="5"/>
      <c r="C25" s="5"/>
      <c r="D25" s="5"/>
      <c r="E25" s="5"/>
      <c r="F25" s="5"/>
      <c r="G25" s="5"/>
      <c r="H25" s="5"/>
      <c r="I25" s="5"/>
      <c r="J25" s="5"/>
    </row>
  </sheetData>
  <mergeCells count="4">
    <mergeCell ref="B10:I10"/>
    <mergeCell ref="M6:N6"/>
    <mergeCell ref="L5:M5"/>
    <mergeCell ref="I5: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4"/>
  <sheetViews>
    <sheetView topLeftCell="A23" zoomScale="140" zoomScaleNormal="140" workbookViewId="0">
      <selection activeCell="F9" sqref="F9:H32"/>
    </sheetView>
  </sheetViews>
  <sheetFormatPr defaultRowHeight="14.5" x14ac:dyDescent="0.35"/>
  <sheetData>
    <row r="2" spans="1:9" x14ac:dyDescent="0.35">
      <c r="B2" s="7">
        <v>0</v>
      </c>
      <c r="C2" s="7"/>
      <c r="D2" s="7"/>
      <c r="E2" s="7" t="s">
        <v>19</v>
      </c>
      <c r="F2" s="7"/>
      <c r="G2" s="7"/>
      <c r="H2" s="7"/>
    </row>
    <row r="3" spans="1:9" x14ac:dyDescent="0.35">
      <c r="B3" s="7">
        <v>1</v>
      </c>
      <c r="C3" s="7"/>
      <c r="D3" s="7" t="s">
        <v>20</v>
      </c>
      <c r="E3" s="7"/>
      <c r="F3" s="7"/>
      <c r="G3" s="7" t="s">
        <v>21</v>
      </c>
      <c r="H3" s="7"/>
    </row>
    <row r="4" spans="1:9" x14ac:dyDescent="0.35">
      <c r="B4" s="7">
        <v>2</v>
      </c>
      <c r="C4" s="7" t="s">
        <v>22</v>
      </c>
      <c r="D4" s="7" t="s">
        <v>25</v>
      </c>
      <c r="E4" s="7" t="s">
        <v>24</v>
      </c>
      <c r="F4" s="7"/>
      <c r="G4" s="7" t="s">
        <v>28</v>
      </c>
      <c r="H4" s="7" t="s">
        <v>29</v>
      </c>
    </row>
    <row r="7" spans="1:9" x14ac:dyDescent="0.35">
      <c r="A7" s="8" t="s">
        <v>30</v>
      </c>
      <c r="B7" s="8"/>
      <c r="C7" s="8"/>
    </row>
    <row r="8" spans="1:9" x14ac:dyDescent="0.35"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2" t="s">
        <v>32</v>
      </c>
    </row>
    <row r="9" spans="1:9" x14ac:dyDescent="0.35">
      <c r="A9" s="15" t="s">
        <v>101</v>
      </c>
      <c r="B9" s="15"/>
      <c r="C9" s="15"/>
      <c r="D9" s="15"/>
      <c r="E9" s="15"/>
      <c r="F9" s="15"/>
      <c r="G9" s="15"/>
      <c r="H9" s="15">
        <v>100</v>
      </c>
      <c r="I9" s="15">
        <v>2</v>
      </c>
    </row>
    <row r="10" spans="1:9" x14ac:dyDescent="0.35">
      <c r="A10" s="15" t="s">
        <v>102</v>
      </c>
      <c r="B10" s="15"/>
      <c r="C10" s="15"/>
      <c r="D10" s="15"/>
      <c r="E10" s="15"/>
      <c r="F10" s="15">
        <v>100</v>
      </c>
      <c r="G10" s="15"/>
      <c r="H10" s="15"/>
      <c r="I10" s="15"/>
    </row>
    <row r="11" spans="1:9" x14ac:dyDescent="0.35">
      <c r="A11" s="2" t="s">
        <v>20</v>
      </c>
      <c r="B11" s="2"/>
      <c r="C11" s="2"/>
      <c r="D11" s="2"/>
      <c r="E11" s="2"/>
      <c r="F11" s="2">
        <v>100</v>
      </c>
      <c r="G11" s="2"/>
      <c r="H11" s="2"/>
      <c r="I11" s="2">
        <v>1</v>
      </c>
    </row>
    <row r="12" spans="1:9" x14ac:dyDescent="0.35">
      <c r="A12" s="2"/>
      <c r="B12" s="2"/>
      <c r="C12" s="2"/>
      <c r="D12" s="2"/>
      <c r="E12" s="2">
        <v>100</v>
      </c>
      <c r="F12" s="2"/>
      <c r="G12" s="2"/>
      <c r="H12" s="2"/>
      <c r="I12" s="2"/>
    </row>
    <row r="13" spans="1:9" ht="16.5" customHeight="1" x14ac:dyDescent="0.35">
      <c r="A13" s="15" t="s">
        <v>31</v>
      </c>
      <c r="B13" s="15"/>
      <c r="C13" s="15"/>
      <c r="D13" s="15"/>
      <c r="E13" s="15"/>
      <c r="F13" s="15">
        <v>200</v>
      </c>
      <c r="G13" s="15"/>
      <c r="H13" s="15"/>
      <c r="I13" s="15">
        <v>2</v>
      </c>
    </row>
    <row r="14" spans="1:9" x14ac:dyDescent="0.35">
      <c r="A14" s="15"/>
      <c r="B14" s="15"/>
      <c r="C14" s="15"/>
      <c r="D14" s="15">
        <v>200</v>
      </c>
      <c r="E14" s="15"/>
      <c r="F14" s="15"/>
      <c r="G14" s="15"/>
      <c r="H14" s="15"/>
      <c r="I14" s="15"/>
    </row>
    <row r="15" spans="1:9" hidden="1" x14ac:dyDescent="0.35">
      <c r="A15" s="2" t="s">
        <v>22</v>
      </c>
      <c r="B15" s="2"/>
      <c r="C15" s="2"/>
      <c r="D15" s="2"/>
      <c r="E15" s="2">
        <v>100</v>
      </c>
      <c r="F15" s="2"/>
      <c r="G15" s="2"/>
      <c r="H15" s="2"/>
      <c r="I15" s="2">
        <v>2</v>
      </c>
    </row>
    <row r="16" spans="1:9" hidden="1" x14ac:dyDescent="0.35">
      <c r="A16" s="2"/>
      <c r="B16" s="2"/>
      <c r="C16" s="2">
        <v>100</v>
      </c>
      <c r="D16" s="2"/>
      <c r="E16" s="2"/>
      <c r="F16" s="2"/>
      <c r="G16" s="2"/>
      <c r="H16" s="2"/>
      <c r="I16" s="2"/>
    </row>
    <row r="17" spans="1:9" hidden="1" x14ac:dyDescent="0.35">
      <c r="A17" s="15" t="s">
        <v>23</v>
      </c>
      <c r="B17" s="15"/>
      <c r="C17" s="15"/>
      <c r="D17" s="15"/>
      <c r="E17" s="15">
        <v>200</v>
      </c>
      <c r="F17" s="15"/>
      <c r="G17" s="15"/>
      <c r="H17" s="15"/>
      <c r="I17" s="15">
        <v>3</v>
      </c>
    </row>
    <row r="18" spans="1:9" hidden="1" x14ac:dyDescent="0.35">
      <c r="A18" s="15"/>
      <c r="B18" s="15">
        <v>200</v>
      </c>
      <c r="C18" s="15"/>
      <c r="D18" s="15"/>
      <c r="E18" s="15"/>
      <c r="F18" s="15"/>
      <c r="G18" s="15"/>
      <c r="H18" s="15"/>
      <c r="I18" s="15"/>
    </row>
    <row r="19" spans="1:9" hidden="1" x14ac:dyDescent="0.35">
      <c r="A19" s="2" t="s">
        <v>24</v>
      </c>
      <c r="B19" s="2"/>
      <c r="C19" s="2"/>
      <c r="D19" s="2"/>
      <c r="E19" s="2">
        <v>100</v>
      </c>
      <c r="F19" s="2"/>
      <c r="G19" s="2"/>
      <c r="H19" s="2"/>
      <c r="I19" s="2">
        <v>1</v>
      </c>
    </row>
    <row r="20" spans="1:9" hidden="1" x14ac:dyDescent="0.35">
      <c r="A20" s="2"/>
      <c r="B20" s="2"/>
      <c r="C20" s="2"/>
      <c r="D20" s="2">
        <v>100</v>
      </c>
      <c r="E20" s="2"/>
      <c r="F20" s="2"/>
      <c r="G20" s="2"/>
      <c r="H20" s="2"/>
      <c r="I20" s="2"/>
    </row>
    <row r="21" spans="1:9" x14ac:dyDescent="0.35">
      <c r="A21" s="15" t="s">
        <v>26</v>
      </c>
      <c r="B21" s="15"/>
      <c r="C21" s="15"/>
      <c r="D21" s="15">
        <v>400</v>
      </c>
      <c r="E21" s="15"/>
      <c r="F21" s="15"/>
      <c r="G21" s="15"/>
      <c r="H21" s="15"/>
      <c r="I21" s="15">
        <v>2</v>
      </c>
    </row>
    <row r="22" spans="1:9" x14ac:dyDescent="0.35">
      <c r="A22" s="15"/>
      <c r="B22" s="15">
        <v>400</v>
      </c>
      <c r="C22" s="15"/>
      <c r="D22" s="15"/>
      <c r="E22" s="15"/>
      <c r="F22" s="15"/>
      <c r="G22" s="15"/>
      <c r="H22" s="15"/>
      <c r="I22" s="15"/>
    </row>
    <row r="23" spans="1:9" x14ac:dyDescent="0.35">
      <c r="A23" s="2" t="s">
        <v>27</v>
      </c>
      <c r="B23" s="2"/>
      <c r="C23" s="2"/>
      <c r="D23" s="2">
        <v>600</v>
      </c>
      <c r="E23" s="2"/>
      <c r="F23" s="2"/>
      <c r="G23" s="2"/>
      <c r="H23" s="2"/>
      <c r="I23" s="2">
        <v>1</v>
      </c>
    </row>
    <row r="24" spans="1:9" x14ac:dyDescent="0.35">
      <c r="A24" s="2"/>
      <c r="B24" s="2"/>
      <c r="C24" s="2">
        <v>600</v>
      </c>
      <c r="D24" s="2"/>
      <c r="E24" s="2"/>
      <c r="F24" s="2"/>
      <c r="G24" s="2"/>
      <c r="H24" s="2"/>
      <c r="I2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7"/>
  <sheetViews>
    <sheetView zoomScale="130" zoomScaleNormal="130" workbookViewId="0">
      <selection activeCell="I1" sqref="I1"/>
    </sheetView>
  </sheetViews>
  <sheetFormatPr defaultRowHeight="14.5" x14ac:dyDescent="0.35"/>
  <cols>
    <col min="1" max="1" width="24.453125" bestFit="1" customWidth="1"/>
  </cols>
  <sheetData>
    <row r="1" spans="1:17" x14ac:dyDescent="0.35">
      <c r="L1" s="2" t="s">
        <v>44</v>
      </c>
      <c r="M1" s="2" t="s">
        <v>45</v>
      </c>
    </row>
    <row r="2" spans="1:17" x14ac:dyDescent="0.35">
      <c r="A2" s="8" t="s">
        <v>30</v>
      </c>
      <c r="L2" s="2" t="s">
        <v>19</v>
      </c>
      <c r="M2" s="2">
        <v>20</v>
      </c>
    </row>
    <row r="3" spans="1:17" x14ac:dyDescent="0.35">
      <c r="L3" s="2" t="s">
        <v>20</v>
      </c>
      <c r="M3" s="2">
        <v>20</v>
      </c>
    </row>
    <row r="4" spans="1:17" x14ac:dyDescent="0.35">
      <c r="A4" s="7"/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 t="s">
        <v>32</v>
      </c>
      <c r="L4" s="2" t="s">
        <v>31</v>
      </c>
      <c r="M4" s="2">
        <v>40</v>
      </c>
    </row>
    <row r="5" spans="1:17" x14ac:dyDescent="0.35">
      <c r="A5" s="6" t="s">
        <v>35</v>
      </c>
      <c r="B5" s="6"/>
      <c r="C5" s="6"/>
      <c r="D5" s="6"/>
      <c r="E5" s="6"/>
      <c r="F5" s="6"/>
      <c r="G5" s="6"/>
      <c r="H5" s="6">
        <v>100</v>
      </c>
      <c r="I5" s="24">
        <v>2</v>
      </c>
      <c r="L5" s="2" t="s">
        <v>22</v>
      </c>
      <c r="M5" s="2">
        <v>30</v>
      </c>
    </row>
    <row r="6" spans="1:17" x14ac:dyDescent="0.35">
      <c r="A6" s="6" t="s">
        <v>103</v>
      </c>
      <c r="B6" s="6"/>
      <c r="C6" s="6"/>
      <c r="D6" s="6"/>
      <c r="E6" s="6"/>
      <c r="F6" s="6"/>
      <c r="G6" s="6">
        <v>30</v>
      </c>
      <c r="H6" s="6"/>
      <c r="I6" s="25"/>
      <c r="L6" s="2"/>
      <c r="M6" s="2"/>
    </row>
    <row r="7" spans="1:17" x14ac:dyDescent="0.35">
      <c r="A7" s="6" t="s">
        <v>33</v>
      </c>
      <c r="B7" s="6"/>
      <c r="C7" s="6"/>
      <c r="D7" s="6"/>
      <c r="E7" s="6"/>
      <c r="F7" s="6"/>
      <c r="G7" s="6"/>
      <c r="H7" s="6">
        <v>20</v>
      </c>
      <c r="I7" s="25"/>
      <c r="L7" s="2" t="s">
        <v>23</v>
      </c>
      <c r="M7" s="2">
        <v>30</v>
      </c>
    </row>
    <row r="8" spans="1:17" x14ac:dyDescent="0.35">
      <c r="A8" s="6" t="s">
        <v>34</v>
      </c>
      <c r="B8" s="6"/>
      <c r="C8" s="6"/>
      <c r="D8" s="6"/>
      <c r="E8" s="6"/>
      <c r="F8" s="6"/>
      <c r="G8" s="6"/>
      <c r="H8" s="6">
        <f>H5-G6-H7</f>
        <v>50</v>
      </c>
      <c r="I8" s="25"/>
      <c r="L8" s="2" t="s">
        <v>24</v>
      </c>
      <c r="M8" s="2">
        <v>25</v>
      </c>
    </row>
    <row r="9" spans="1:17" x14ac:dyDescent="0.35">
      <c r="A9" s="6" t="s">
        <v>36</v>
      </c>
      <c r="B9" s="6"/>
      <c r="C9" s="6"/>
      <c r="D9" s="6"/>
      <c r="E9" s="6"/>
      <c r="F9" s="6">
        <v>80</v>
      </c>
      <c r="G9" s="6"/>
      <c r="H9" s="6"/>
      <c r="I9" s="26"/>
      <c r="L9" s="2" t="s">
        <v>26</v>
      </c>
      <c r="M9" s="2">
        <v>240</v>
      </c>
    </row>
    <row r="10" spans="1:17" x14ac:dyDescent="0.35">
      <c r="A10" s="7" t="s">
        <v>37</v>
      </c>
      <c r="B10" s="7"/>
      <c r="C10" s="7"/>
      <c r="D10" s="7"/>
      <c r="E10" s="7"/>
      <c r="F10" s="7">
        <v>80</v>
      </c>
      <c r="G10" s="7"/>
      <c r="H10" s="7"/>
      <c r="I10" s="27">
        <v>1</v>
      </c>
      <c r="L10" s="11" t="s">
        <v>27</v>
      </c>
      <c r="M10" s="11">
        <v>40</v>
      </c>
    </row>
    <row r="11" spans="1:17" x14ac:dyDescent="0.35">
      <c r="A11" s="7" t="s">
        <v>33</v>
      </c>
      <c r="B11" s="7"/>
      <c r="C11" s="7"/>
      <c r="D11" s="7"/>
      <c r="E11" s="7"/>
      <c r="F11" s="7">
        <v>20</v>
      </c>
      <c r="G11" s="7"/>
      <c r="H11" s="7"/>
      <c r="I11" s="28"/>
      <c r="K11" s="7">
        <v>0</v>
      </c>
      <c r="L11" s="7"/>
      <c r="M11" s="7"/>
      <c r="N11" s="7" t="s">
        <v>19</v>
      </c>
      <c r="O11" s="7"/>
      <c r="P11" s="7"/>
      <c r="Q11" s="7"/>
    </row>
    <row r="12" spans="1:17" x14ac:dyDescent="0.35">
      <c r="A12" s="7" t="s">
        <v>34</v>
      </c>
      <c r="B12" s="7"/>
      <c r="C12" s="7"/>
      <c r="D12" s="7"/>
      <c r="E12" s="7"/>
      <c r="F12" s="7">
        <v>60</v>
      </c>
      <c r="G12" s="7"/>
      <c r="H12" s="7"/>
      <c r="I12" s="28"/>
      <c r="K12" s="7">
        <v>1</v>
      </c>
      <c r="L12" s="7"/>
      <c r="M12" s="7" t="s">
        <v>20</v>
      </c>
      <c r="N12" s="7"/>
      <c r="O12" s="7"/>
      <c r="P12" s="7" t="s">
        <v>21</v>
      </c>
      <c r="Q12" s="7"/>
    </row>
    <row r="13" spans="1:17" x14ac:dyDescent="0.35">
      <c r="A13" s="7" t="s">
        <v>36</v>
      </c>
      <c r="B13" s="7"/>
      <c r="C13" s="7"/>
      <c r="D13" s="7"/>
      <c r="E13" s="7">
        <v>60</v>
      </c>
      <c r="F13" s="7"/>
      <c r="G13" s="7"/>
      <c r="H13" s="7"/>
      <c r="I13" s="29"/>
      <c r="K13" s="7">
        <v>2</v>
      </c>
      <c r="L13" s="7" t="s">
        <v>22</v>
      </c>
      <c r="M13" s="7" t="s">
        <v>25</v>
      </c>
      <c r="N13" s="7" t="s">
        <v>24</v>
      </c>
      <c r="O13" s="7"/>
      <c r="P13" s="7" t="s">
        <v>28</v>
      </c>
      <c r="Q13" s="7" t="s">
        <v>29</v>
      </c>
    </row>
    <row r="14" spans="1:17" x14ac:dyDescent="0.35">
      <c r="A14" s="6" t="s">
        <v>38</v>
      </c>
      <c r="B14" s="6"/>
      <c r="C14" s="6"/>
      <c r="D14" s="6"/>
      <c r="E14" s="6"/>
      <c r="F14" s="6">
        <v>160</v>
      </c>
      <c r="G14" s="6"/>
      <c r="H14" s="6"/>
      <c r="I14" s="24">
        <v>2</v>
      </c>
    </row>
    <row r="15" spans="1:17" x14ac:dyDescent="0.35">
      <c r="A15" s="6" t="s">
        <v>33</v>
      </c>
      <c r="B15" s="6"/>
      <c r="C15" s="6"/>
      <c r="D15" s="6"/>
      <c r="E15" s="6"/>
      <c r="F15" s="6">
        <v>40</v>
      </c>
      <c r="G15" s="6"/>
      <c r="H15" s="6"/>
      <c r="I15" s="25"/>
    </row>
    <row r="16" spans="1:17" x14ac:dyDescent="0.35">
      <c r="A16" s="6" t="s">
        <v>34</v>
      </c>
      <c r="B16" s="6"/>
      <c r="C16" s="6"/>
      <c r="D16" s="6"/>
      <c r="E16" s="6"/>
      <c r="F16" s="6">
        <f>F14-F15</f>
        <v>120</v>
      </c>
      <c r="G16" s="6"/>
      <c r="H16" s="6"/>
      <c r="I16" s="25"/>
    </row>
    <row r="17" spans="1:9" x14ac:dyDescent="0.35">
      <c r="A17" s="6" t="s">
        <v>36</v>
      </c>
      <c r="B17" s="6"/>
      <c r="C17" s="6"/>
      <c r="D17" s="6">
        <v>120</v>
      </c>
      <c r="E17" s="6"/>
      <c r="F17" s="6"/>
      <c r="G17" s="6"/>
      <c r="H17" s="6"/>
      <c r="I17" s="26"/>
    </row>
    <row r="18" spans="1:9" x14ac:dyDescent="0.35">
      <c r="A18" s="7" t="s">
        <v>39</v>
      </c>
      <c r="B18" s="7"/>
      <c r="C18" s="7"/>
      <c r="D18" s="7"/>
      <c r="E18" s="7">
        <v>60</v>
      </c>
      <c r="F18" s="7"/>
      <c r="G18" s="7"/>
      <c r="H18" s="7"/>
      <c r="I18" s="27">
        <v>2</v>
      </c>
    </row>
    <row r="19" spans="1:9" x14ac:dyDescent="0.35">
      <c r="A19" s="7" t="s">
        <v>33</v>
      </c>
      <c r="B19" s="7"/>
      <c r="C19" s="7"/>
      <c r="D19" s="7"/>
      <c r="E19" s="7">
        <v>30</v>
      </c>
      <c r="F19" s="7"/>
      <c r="G19" s="7"/>
      <c r="H19" s="7"/>
      <c r="I19" s="28"/>
    </row>
    <row r="20" spans="1:9" x14ac:dyDescent="0.35">
      <c r="A20" s="7" t="s">
        <v>34</v>
      </c>
      <c r="B20" s="7"/>
      <c r="C20" s="7"/>
      <c r="D20" s="7"/>
      <c r="E20" s="7">
        <f>E18-E19</f>
        <v>30</v>
      </c>
      <c r="F20" s="7"/>
      <c r="G20" s="7"/>
      <c r="H20" s="7"/>
      <c r="I20" s="28"/>
    </row>
    <row r="21" spans="1:9" x14ac:dyDescent="0.35">
      <c r="A21" s="7" t="s">
        <v>36</v>
      </c>
      <c r="B21" s="7"/>
      <c r="C21" s="7">
        <v>30</v>
      </c>
      <c r="D21" s="7"/>
      <c r="E21" s="7"/>
      <c r="F21" s="7"/>
      <c r="G21" s="7"/>
      <c r="H21" s="7"/>
      <c r="I21" s="29"/>
    </row>
    <row r="22" spans="1:9" x14ac:dyDescent="0.35">
      <c r="A22" s="6" t="s">
        <v>40</v>
      </c>
      <c r="B22" s="6"/>
      <c r="C22" s="6"/>
      <c r="D22" s="6"/>
      <c r="E22" s="6">
        <f>E13*2</f>
        <v>120</v>
      </c>
      <c r="F22" s="6"/>
      <c r="G22" s="6"/>
      <c r="H22" s="6"/>
      <c r="I22" s="24">
        <v>3</v>
      </c>
    </row>
    <row r="23" spans="1:9" x14ac:dyDescent="0.35">
      <c r="A23" s="6" t="s">
        <v>33</v>
      </c>
      <c r="B23" s="6"/>
      <c r="C23" s="6"/>
      <c r="D23" s="6"/>
      <c r="E23" s="6">
        <v>30</v>
      </c>
      <c r="F23" s="6"/>
      <c r="G23" s="6"/>
      <c r="H23" s="6"/>
      <c r="I23" s="25"/>
    </row>
    <row r="24" spans="1:9" x14ac:dyDescent="0.35">
      <c r="A24" s="6" t="s">
        <v>34</v>
      </c>
      <c r="B24" s="6"/>
      <c r="C24" s="6"/>
      <c r="D24" s="6"/>
      <c r="E24" s="6">
        <f>E22-E23</f>
        <v>90</v>
      </c>
      <c r="F24" s="6"/>
      <c r="G24" s="6"/>
      <c r="H24" s="6"/>
      <c r="I24" s="25"/>
    </row>
    <row r="25" spans="1:9" x14ac:dyDescent="0.35">
      <c r="A25" s="6" t="s">
        <v>36</v>
      </c>
      <c r="B25" s="6">
        <v>90</v>
      </c>
      <c r="C25" s="6"/>
      <c r="D25" s="6"/>
      <c r="E25" s="6"/>
      <c r="F25" s="6"/>
      <c r="G25" s="6"/>
      <c r="H25" s="6"/>
      <c r="I25" s="26"/>
    </row>
    <row r="26" spans="1:9" x14ac:dyDescent="0.35">
      <c r="A26" s="7" t="s">
        <v>41</v>
      </c>
      <c r="B26" s="7"/>
      <c r="C26" s="7"/>
      <c r="D26" s="7"/>
      <c r="E26" s="7">
        <v>60</v>
      </c>
      <c r="F26" s="7"/>
      <c r="G26" s="7"/>
      <c r="H26" s="7"/>
      <c r="I26" s="27">
        <v>1</v>
      </c>
    </row>
    <row r="27" spans="1:9" x14ac:dyDescent="0.35">
      <c r="A27" s="7" t="s">
        <v>33</v>
      </c>
      <c r="B27" s="7"/>
      <c r="C27" s="7"/>
      <c r="D27" s="7"/>
      <c r="E27" s="7">
        <v>25</v>
      </c>
      <c r="F27" s="7"/>
      <c r="G27" s="7"/>
      <c r="H27" s="7"/>
      <c r="I27" s="28"/>
    </row>
    <row r="28" spans="1:9" x14ac:dyDescent="0.35">
      <c r="A28" s="7" t="s">
        <v>34</v>
      </c>
      <c r="B28" s="7"/>
      <c r="C28" s="7"/>
      <c r="D28" s="7"/>
      <c r="E28" s="7">
        <f>E26-E27</f>
        <v>35</v>
      </c>
      <c r="F28" s="7"/>
      <c r="G28" s="7"/>
      <c r="H28" s="7"/>
      <c r="I28" s="28"/>
    </row>
    <row r="29" spans="1:9" x14ac:dyDescent="0.35">
      <c r="A29" s="7" t="s">
        <v>36</v>
      </c>
      <c r="B29" s="7"/>
      <c r="C29" s="7"/>
      <c r="D29" s="7">
        <v>35</v>
      </c>
      <c r="E29" s="7"/>
      <c r="F29" s="7"/>
      <c r="G29" s="7"/>
      <c r="H29" s="7"/>
      <c r="I29" s="29"/>
    </row>
    <row r="30" spans="1:9" x14ac:dyDescent="0.35">
      <c r="A30" s="6" t="s">
        <v>42</v>
      </c>
      <c r="B30" s="6"/>
      <c r="C30" s="6"/>
      <c r="D30" s="6">
        <v>240</v>
      </c>
      <c r="E30" s="6"/>
      <c r="F30" s="6"/>
      <c r="G30" s="6"/>
      <c r="H30" s="6"/>
      <c r="I30" s="24">
        <v>2</v>
      </c>
    </row>
    <row r="31" spans="1:9" x14ac:dyDescent="0.35">
      <c r="A31" s="6" t="s">
        <v>33</v>
      </c>
      <c r="B31" s="6"/>
      <c r="C31" s="6"/>
      <c r="D31" s="6">
        <v>240</v>
      </c>
      <c r="E31" s="6"/>
      <c r="F31" s="6"/>
      <c r="G31" s="6"/>
      <c r="H31" s="6"/>
      <c r="I31" s="25"/>
    </row>
    <row r="32" spans="1:9" x14ac:dyDescent="0.35">
      <c r="A32" s="6" t="s">
        <v>34</v>
      </c>
      <c r="B32" s="6"/>
      <c r="C32" s="6"/>
      <c r="D32" s="6">
        <v>0</v>
      </c>
      <c r="E32" s="6"/>
      <c r="F32" s="6"/>
      <c r="G32" s="6"/>
      <c r="H32" s="6"/>
      <c r="I32" s="25"/>
    </row>
    <row r="33" spans="1:9" x14ac:dyDescent="0.35">
      <c r="A33" s="6" t="s">
        <v>36</v>
      </c>
      <c r="B33" s="6"/>
      <c r="C33" s="6"/>
      <c r="D33" s="6"/>
      <c r="E33" s="6"/>
      <c r="F33" s="6"/>
      <c r="G33" s="6"/>
      <c r="H33" s="6"/>
      <c r="I33" s="26"/>
    </row>
    <row r="34" spans="1:9" x14ac:dyDescent="0.35">
      <c r="A34" s="7" t="s">
        <v>43</v>
      </c>
      <c r="B34" s="7"/>
      <c r="C34" s="7"/>
      <c r="D34" s="7">
        <f>D17*3</f>
        <v>360</v>
      </c>
      <c r="E34" s="7"/>
      <c r="F34" s="7"/>
      <c r="G34" s="7"/>
      <c r="H34" s="7"/>
      <c r="I34" s="27">
        <v>1</v>
      </c>
    </row>
    <row r="35" spans="1:9" x14ac:dyDescent="0.35">
      <c r="A35" s="7" t="s">
        <v>33</v>
      </c>
      <c r="B35" s="7"/>
      <c r="C35" s="7"/>
      <c r="D35" s="7">
        <v>40</v>
      </c>
      <c r="E35" s="7"/>
      <c r="F35" s="7"/>
      <c r="G35" s="7"/>
      <c r="H35" s="7"/>
      <c r="I35" s="28"/>
    </row>
    <row r="36" spans="1:9" x14ac:dyDescent="0.35">
      <c r="A36" s="7" t="s">
        <v>34</v>
      </c>
      <c r="B36" s="7"/>
      <c r="C36" s="7"/>
      <c r="D36" s="7">
        <v>320</v>
      </c>
      <c r="E36" s="7"/>
      <c r="F36" s="7"/>
      <c r="G36" s="7"/>
      <c r="H36" s="7"/>
      <c r="I36" s="28"/>
    </row>
    <row r="37" spans="1:9" x14ac:dyDescent="0.35">
      <c r="A37" s="7" t="s">
        <v>36</v>
      </c>
      <c r="B37" s="7"/>
      <c r="C37" s="7">
        <v>320</v>
      </c>
      <c r="D37" s="7"/>
      <c r="E37" s="7"/>
      <c r="F37" s="7"/>
      <c r="G37" s="7"/>
      <c r="H37" s="7"/>
      <c r="I37" s="29"/>
    </row>
  </sheetData>
  <mergeCells count="8">
    <mergeCell ref="I30:I33"/>
    <mergeCell ref="I34:I37"/>
    <mergeCell ref="I5:I9"/>
    <mergeCell ref="I10:I13"/>
    <mergeCell ref="I14:I17"/>
    <mergeCell ref="I18:I21"/>
    <mergeCell ref="I22:I25"/>
    <mergeCell ref="I26:I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9"/>
  <sheetViews>
    <sheetView tabSelected="1" zoomScale="130" zoomScaleNormal="130" workbookViewId="0">
      <selection activeCell="F12" sqref="F12"/>
    </sheetView>
  </sheetViews>
  <sheetFormatPr defaultRowHeight="14.5" x14ac:dyDescent="0.35"/>
  <cols>
    <col min="1" max="1" width="19.1796875" customWidth="1"/>
    <col min="2" max="2" width="11.54296875" bestFit="1" customWidth="1"/>
    <col min="3" max="3" width="11.36328125" bestFit="1" customWidth="1"/>
    <col min="7" max="7" width="11.36328125" bestFit="1" customWidth="1"/>
    <col min="14" max="14" width="22" bestFit="1" customWidth="1"/>
  </cols>
  <sheetData>
    <row r="1" spans="1:15" x14ac:dyDescent="0.35">
      <c r="B1" s="8" t="s">
        <v>51</v>
      </c>
      <c r="C1" s="8"/>
      <c r="D1" s="8"/>
      <c r="E1" s="8"/>
      <c r="F1" s="8"/>
    </row>
    <row r="2" spans="1:15" x14ac:dyDescent="0.35">
      <c r="B2" s="8" t="s">
        <v>52</v>
      </c>
      <c r="C2" s="8"/>
      <c r="D2" s="8"/>
      <c r="E2" s="8"/>
      <c r="F2" s="8"/>
    </row>
    <row r="3" spans="1:15" x14ac:dyDescent="0.35">
      <c r="B3" s="8" t="s">
        <v>53</v>
      </c>
      <c r="C3" s="8"/>
      <c r="D3" s="8"/>
      <c r="E3" s="8"/>
      <c r="F3" s="8"/>
    </row>
    <row r="4" spans="1:15" x14ac:dyDescent="0.35">
      <c r="B4" s="8" t="s">
        <v>54</v>
      </c>
      <c r="C4" s="8"/>
      <c r="D4" s="8"/>
      <c r="E4" s="8"/>
      <c r="F4" s="8"/>
    </row>
    <row r="5" spans="1:15" ht="15" thickBot="1" x14ac:dyDescent="0.4">
      <c r="A5" s="30" t="s">
        <v>60</v>
      </c>
      <c r="B5" s="59" t="s">
        <v>18</v>
      </c>
      <c r="C5" s="59"/>
      <c r="D5" s="59"/>
      <c r="E5" s="59"/>
      <c r="F5" s="59"/>
      <c r="G5" s="59"/>
      <c r="H5" s="59"/>
      <c r="I5" s="59"/>
      <c r="J5" s="59"/>
      <c r="K5" s="59"/>
    </row>
    <row r="6" spans="1:15" ht="15" thickBot="1" x14ac:dyDescent="0.4">
      <c r="A6" s="60"/>
      <c r="B6" s="52">
        <v>1</v>
      </c>
      <c r="C6" s="52">
        <v>2</v>
      </c>
      <c r="D6" s="52">
        <v>3</v>
      </c>
      <c r="E6" s="52">
        <v>4</v>
      </c>
      <c r="F6" s="52">
        <v>5</v>
      </c>
      <c r="G6" s="52">
        <v>6</v>
      </c>
      <c r="H6" s="52">
        <v>7</v>
      </c>
      <c r="I6" s="52">
        <v>8</v>
      </c>
      <c r="J6" s="52">
        <v>9</v>
      </c>
      <c r="K6" s="53">
        <v>10</v>
      </c>
      <c r="N6" s="7" t="s">
        <v>55</v>
      </c>
      <c r="O6" s="7">
        <f>100*7</f>
        <v>700</v>
      </c>
    </row>
    <row r="7" spans="1:15" ht="15" thickBot="1" x14ac:dyDescent="0.4">
      <c r="A7" s="54" t="s">
        <v>46</v>
      </c>
      <c r="B7" s="9">
        <v>35</v>
      </c>
      <c r="C7" s="9">
        <v>30</v>
      </c>
      <c r="D7" s="9">
        <v>40</v>
      </c>
      <c r="E7" s="9">
        <v>0</v>
      </c>
      <c r="F7" s="9">
        <v>10</v>
      </c>
      <c r="G7" s="9">
        <v>40</v>
      </c>
      <c r="H7" s="9">
        <v>30</v>
      </c>
      <c r="I7" s="9">
        <v>0</v>
      </c>
      <c r="J7" s="9">
        <v>30</v>
      </c>
      <c r="K7" s="55">
        <v>55</v>
      </c>
      <c r="N7" s="7" t="s">
        <v>56</v>
      </c>
      <c r="O7" s="7">
        <v>0</v>
      </c>
    </row>
    <row r="8" spans="1:15" ht="15" thickBot="1" x14ac:dyDescent="0.4">
      <c r="A8" s="54" t="s">
        <v>48</v>
      </c>
      <c r="B8" s="9"/>
      <c r="C8" s="9"/>
      <c r="D8" s="9"/>
      <c r="E8" s="9"/>
      <c r="F8" s="9"/>
      <c r="G8" s="9"/>
      <c r="H8" s="9"/>
      <c r="I8" s="9"/>
      <c r="J8" s="9"/>
      <c r="K8" s="55"/>
      <c r="N8" s="7" t="s">
        <v>57</v>
      </c>
      <c r="O8" s="7">
        <f>O6+O7</f>
        <v>700</v>
      </c>
    </row>
    <row r="9" spans="1:15" ht="15" thickBot="1" x14ac:dyDescent="0.4">
      <c r="A9" s="54" t="s">
        <v>49</v>
      </c>
      <c r="B9" s="9"/>
      <c r="C9" s="9"/>
      <c r="D9" s="9"/>
      <c r="E9" s="9"/>
      <c r="F9" s="9"/>
      <c r="G9" s="9"/>
      <c r="H9" s="9"/>
      <c r="I9" s="9"/>
      <c r="J9" s="9"/>
      <c r="K9" s="55"/>
    </row>
    <row r="10" spans="1:15" ht="15" thickBot="1" x14ac:dyDescent="0.4">
      <c r="A10" s="54" t="s">
        <v>50</v>
      </c>
      <c r="B10" s="9"/>
      <c r="C10" s="9"/>
      <c r="D10" s="9"/>
      <c r="E10" s="9"/>
      <c r="F10" s="9"/>
      <c r="G10" s="9"/>
      <c r="H10" s="9"/>
      <c r="I10" s="9"/>
      <c r="J10" s="9"/>
      <c r="K10" s="55"/>
    </row>
    <row r="11" spans="1:15" ht="27" thickBot="1" x14ac:dyDescent="0.4">
      <c r="A11" s="56" t="s">
        <v>47</v>
      </c>
      <c r="B11" s="57"/>
      <c r="C11" s="57"/>
      <c r="D11" s="57"/>
      <c r="E11" s="57"/>
      <c r="F11" s="57"/>
      <c r="G11" s="57"/>
      <c r="H11" s="57"/>
      <c r="I11" s="57"/>
      <c r="J11" s="57"/>
      <c r="K11" s="58"/>
    </row>
    <row r="12" spans="1:15" ht="15" thickBot="1" x14ac:dyDescent="0.4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</row>
    <row r="13" spans="1:15" ht="15" thickBot="1" x14ac:dyDescent="0.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5" ht="15" thickBot="1" x14ac:dyDescent="0.4">
      <c r="A14" s="31" t="s">
        <v>111</v>
      </c>
      <c r="B14" s="47" t="s">
        <v>18</v>
      </c>
      <c r="C14" s="48"/>
      <c r="D14" s="48"/>
      <c r="E14" s="48"/>
      <c r="F14" s="48"/>
      <c r="G14" s="48"/>
      <c r="H14" s="48"/>
      <c r="I14" s="48"/>
      <c r="J14" s="48"/>
      <c r="K14" s="49"/>
    </row>
    <row r="15" spans="1:15" ht="15" thickBot="1" x14ac:dyDescent="0.4">
      <c r="A15" s="51"/>
      <c r="B15" s="52">
        <v>1</v>
      </c>
      <c r="C15" s="52">
        <v>2</v>
      </c>
      <c r="D15" s="52">
        <v>3</v>
      </c>
      <c r="E15" s="52">
        <v>4</v>
      </c>
      <c r="F15" s="52">
        <v>5</v>
      </c>
      <c r="G15" s="52">
        <v>6</v>
      </c>
      <c r="H15" s="52">
        <v>7</v>
      </c>
      <c r="I15" s="52">
        <v>8</v>
      </c>
      <c r="J15" s="52">
        <v>9</v>
      </c>
      <c r="K15" s="53">
        <v>10</v>
      </c>
    </row>
    <row r="16" spans="1:15" ht="15" thickBot="1" x14ac:dyDescent="0.4">
      <c r="A16" s="54" t="s">
        <v>46</v>
      </c>
      <c r="B16" s="9">
        <v>35</v>
      </c>
      <c r="C16" s="9">
        <v>30</v>
      </c>
      <c r="D16" s="9">
        <v>40</v>
      </c>
      <c r="E16" s="9">
        <v>0</v>
      </c>
      <c r="F16" s="9">
        <v>10</v>
      </c>
      <c r="G16" s="9">
        <v>40</v>
      </c>
      <c r="H16" s="9">
        <v>30</v>
      </c>
      <c r="I16" s="9">
        <v>0</v>
      </c>
      <c r="J16" s="9">
        <v>30</v>
      </c>
      <c r="K16" s="55">
        <v>55</v>
      </c>
    </row>
    <row r="17" spans="1:15" ht="15" thickBot="1" x14ac:dyDescent="0.4">
      <c r="A17" s="54" t="s">
        <v>48</v>
      </c>
      <c r="B17" s="9"/>
      <c r="C17" s="9"/>
      <c r="D17" s="9"/>
      <c r="E17" s="9"/>
      <c r="F17" s="9"/>
      <c r="G17" s="9"/>
      <c r="H17" s="9"/>
      <c r="I17" s="9"/>
      <c r="J17" s="9"/>
      <c r="K17" s="55"/>
      <c r="L17" s="46"/>
    </row>
    <row r="18" spans="1:15" ht="15" thickBot="1" x14ac:dyDescent="0.4">
      <c r="A18" s="54" t="s">
        <v>49</v>
      </c>
      <c r="B18" s="9"/>
      <c r="C18" s="9"/>
      <c r="D18" s="9"/>
      <c r="E18" s="9"/>
      <c r="F18" s="9"/>
      <c r="G18" s="9"/>
      <c r="H18" s="9"/>
      <c r="I18" s="9"/>
      <c r="J18" s="9"/>
      <c r="K18" s="55"/>
      <c r="N18" s="7" t="s">
        <v>55</v>
      </c>
      <c r="O18" s="7">
        <f>100*4</f>
        <v>400</v>
      </c>
    </row>
    <row r="19" spans="1:15" ht="15" thickBot="1" x14ac:dyDescent="0.4">
      <c r="A19" s="54" t="s">
        <v>50</v>
      </c>
      <c r="B19" s="9"/>
      <c r="C19" s="9"/>
      <c r="D19" s="9"/>
      <c r="E19" s="9"/>
      <c r="F19" s="9"/>
      <c r="G19" s="9"/>
      <c r="H19" s="9"/>
      <c r="I19" s="9"/>
      <c r="J19" s="9"/>
      <c r="K19" s="55"/>
      <c r="N19" s="7" t="s">
        <v>56</v>
      </c>
      <c r="O19" s="7">
        <f>43+3+3+66+26+69+69+39+57</f>
        <v>375</v>
      </c>
    </row>
    <row r="20" spans="1:15" ht="27" thickBot="1" x14ac:dyDescent="0.4">
      <c r="A20" s="56" t="s">
        <v>47</v>
      </c>
      <c r="B20" s="57"/>
      <c r="C20" s="57"/>
      <c r="D20" s="57"/>
      <c r="E20" s="57"/>
      <c r="F20" s="57"/>
      <c r="G20" s="57"/>
      <c r="H20" s="57"/>
      <c r="I20" s="57"/>
      <c r="J20" s="57"/>
      <c r="K20" s="58"/>
      <c r="N20" s="7" t="s">
        <v>57</v>
      </c>
      <c r="O20" s="7">
        <f>O18+O19</f>
        <v>775</v>
      </c>
    </row>
    <row r="21" spans="1:15" ht="15" thickBot="1" x14ac:dyDescent="0.4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</row>
    <row r="22" spans="1:15" ht="15" thickBot="1" x14ac:dyDescent="0.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5" ht="15" thickBot="1" x14ac:dyDescent="0.4">
      <c r="A23" s="31" t="s">
        <v>59</v>
      </c>
      <c r="B23" s="32" t="s">
        <v>18</v>
      </c>
      <c r="C23" s="33"/>
      <c r="D23" s="33"/>
      <c r="E23" s="33"/>
      <c r="F23" s="33"/>
      <c r="G23" s="33"/>
      <c r="H23" s="33"/>
      <c r="I23" s="33"/>
      <c r="J23" s="33"/>
      <c r="K23" s="34"/>
    </row>
    <row r="24" spans="1:15" x14ac:dyDescent="0.35">
      <c r="A24" s="35"/>
      <c r="B24" s="36">
        <v>1</v>
      </c>
      <c r="C24" s="37">
        <v>2</v>
      </c>
      <c r="D24" s="37">
        <v>3</v>
      </c>
      <c r="E24" s="37">
        <v>4</v>
      </c>
      <c r="F24" s="38">
        <v>5</v>
      </c>
      <c r="G24" s="38">
        <v>6</v>
      </c>
      <c r="H24" s="38">
        <v>7</v>
      </c>
      <c r="I24" s="37">
        <v>8</v>
      </c>
      <c r="J24" s="37">
        <v>9</v>
      </c>
      <c r="K24" s="39">
        <v>10</v>
      </c>
    </row>
    <row r="25" spans="1:15" x14ac:dyDescent="0.35">
      <c r="A25" s="40" t="s">
        <v>46</v>
      </c>
      <c r="B25" s="13">
        <v>35</v>
      </c>
      <c r="C25" s="13">
        <v>30</v>
      </c>
      <c r="D25" s="13">
        <v>40</v>
      </c>
      <c r="E25" s="13">
        <v>0</v>
      </c>
      <c r="F25" s="13">
        <v>10</v>
      </c>
      <c r="G25" s="13">
        <v>40</v>
      </c>
      <c r="H25" s="13">
        <v>30</v>
      </c>
      <c r="I25" s="13">
        <v>0</v>
      </c>
      <c r="J25" s="13">
        <v>30</v>
      </c>
      <c r="K25" s="41">
        <v>55</v>
      </c>
    </row>
    <row r="26" spans="1:15" x14ac:dyDescent="0.35">
      <c r="A26" s="40" t="s">
        <v>48</v>
      </c>
      <c r="B26" s="13"/>
      <c r="C26" s="13"/>
      <c r="D26" s="13"/>
      <c r="E26" s="13"/>
      <c r="F26" s="13"/>
      <c r="G26" s="13"/>
      <c r="H26" s="13"/>
      <c r="I26" s="13"/>
      <c r="J26" s="13"/>
      <c r="K26" s="41"/>
    </row>
    <row r="27" spans="1:15" x14ac:dyDescent="0.35">
      <c r="A27" s="40" t="s">
        <v>49</v>
      </c>
      <c r="B27" s="13"/>
      <c r="C27" s="13"/>
      <c r="D27" s="13"/>
      <c r="E27" s="13"/>
      <c r="F27" s="13"/>
      <c r="G27" s="13"/>
      <c r="H27" s="13"/>
      <c r="I27" s="13"/>
      <c r="J27" s="13"/>
      <c r="K27" s="41"/>
      <c r="N27" s="7" t="s">
        <v>55</v>
      </c>
      <c r="O27" s="7">
        <f>3*100</f>
        <v>300</v>
      </c>
    </row>
    <row r="28" spans="1:15" x14ac:dyDescent="0.35">
      <c r="A28" s="40" t="s">
        <v>50</v>
      </c>
      <c r="B28" s="13"/>
      <c r="C28" s="13"/>
      <c r="D28" s="13"/>
      <c r="E28" s="13"/>
      <c r="F28" s="13"/>
      <c r="G28" s="13"/>
      <c r="H28" s="14"/>
      <c r="I28" s="2"/>
      <c r="J28" s="13"/>
      <c r="K28" s="41"/>
      <c r="N28" s="7" t="s">
        <v>56</v>
      </c>
      <c r="O28" s="7">
        <f>40+70+30+55</f>
        <v>195</v>
      </c>
    </row>
    <row r="29" spans="1:15" ht="27" thickBot="1" x14ac:dyDescent="0.4">
      <c r="A29" s="42" t="s">
        <v>47</v>
      </c>
      <c r="B29" s="43"/>
      <c r="C29" s="43"/>
      <c r="D29" s="43"/>
      <c r="E29" s="43"/>
      <c r="F29" s="43"/>
      <c r="G29" s="43"/>
      <c r="H29" s="43"/>
      <c r="I29" s="44"/>
      <c r="J29" s="43"/>
      <c r="K29" s="45"/>
      <c r="N29" s="7" t="s">
        <v>57</v>
      </c>
      <c r="O29" s="7">
        <f>O27+O28</f>
        <v>495</v>
      </c>
    </row>
  </sheetData>
  <mergeCells count="3">
    <mergeCell ref="B5:K5"/>
    <mergeCell ref="B14:K14"/>
    <mergeCell ref="B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Disaggregation and MPS</vt:lpstr>
      <vt:lpstr>One level BOM</vt:lpstr>
      <vt:lpstr>Multilevel BOM</vt:lpstr>
      <vt:lpstr>Gross Requirement 1</vt:lpstr>
      <vt:lpstr>Gross Requirement 2</vt:lpstr>
      <vt:lpstr>Net Requirement </vt:lpstr>
      <vt:lpstr>Lot sizing 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</dc:creator>
  <cp:lastModifiedBy>Ahmad Hussain AlNasser</cp:lastModifiedBy>
  <dcterms:created xsi:type="dcterms:W3CDTF">2017-12-01T15:44:02Z</dcterms:created>
  <dcterms:modified xsi:type="dcterms:W3CDTF">2025-11-02T13:27:19Z</dcterms:modified>
</cp:coreProperties>
</file>