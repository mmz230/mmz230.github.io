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alnasser\Downloads\"/>
    </mc:Choice>
  </mc:AlternateContent>
  <xr:revisionPtr revIDLastSave="0" documentId="13_ncr:1_{9DD557E8-E1D7-429D-A9E8-2A0C00ECECC6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Sheet3" sheetId="15" r:id="rId1"/>
    <sheet name="One level BOM" sheetId="13" r:id="rId2"/>
    <sheet name="Multilevel BOM" sheetId="14" r:id="rId3"/>
    <sheet name="Example 2" sheetId="1" r:id="rId4"/>
    <sheet name="14.5 &amp; 14.6" sheetId="2" r:id="rId5"/>
    <sheet name="14.7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" l="1"/>
  <c r="P8" i="1"/>
  <c r="P7" i="1"/>
  <c r="P4" i="1"/>
  <c r="P5" i="1"/>
  <c r="P6" i="1"/>
  <c r="L9" i="14"/>
  <c r="K5" i="13"/>
  <c r="K4" i="13"/>
  <c r="C14" i="15" l="1"/>
  <c r="C15" i="15"/>
  <c r="C16" i="15"/>
  <c r="C17" i="15"/>
  <c r="C18" i="15"/>
  <c r="C13" i="15"/>
</calcChain>
</file>

<file path=xl/sharedStrings.xml><?xml version="1.0" encoding="utf-8"?>
<sst xmlns="http://schemas.openxmlformats.org/spreadsheetml/2006/main" count="168" uniqueCount="95">
  <si>
    <t xml:space="preserve">Component </t>
  </si>
  <si>
    <t>Lead Time</t>
  </si>
  <si>
    <t>A</t>
  </si>
  <si>
    <t>B</t>
  </si>
  <si>
    <t>C</t>
  </si>
  <si>
    <t>D</t>
  </si>
  <si>
    <t>E</t>
  </si>
  <si>
    <t>F</t>
  </si>
  <si>
    <t>G</t>
  </si>
  <si>
    <t>Demand</t>
  </si>
  <si>
    <t>50 A in week 8</t>
  </si>
  <si>
    <t>A: Required Date</t>
  </si>
  <si>
    <t>Order release date</t>
  </si>
  <si>
    <t>G: Required Date</t>
  </si>
  <si>
    <t>F: Required Date</t>
  </si>
  <si>
    <t>E: Required Date</t>
  </si>
  <si>
    <t>B: Required Date</t>
  </si>
  <si>
    <t>C: Required Date</t>
  </si>
  <si>
    <t>D: Required Date</t>
  </si>
  <si>
    <t>B(2)</t>
  </si>
  <si>
    <t>C(3)</t>
  </si>
  <si>
    <t>E(2)</t>
  </si>
  <si>
    <t>D(2)</t>
  </si>
  <si>
    <t>F(2)</t>
  </si>
  <si>
    <t>G(1)</t>
  </si>
  <si>
    <t>Weeks</t>
  </si>
  <si>
    <t>S</t>
  </si>
  <si>
    <t>T</t>
  </si>
  <si>
    <t>U(2)</t>
  </si>
  <si>
    <t>V</t>
  </si>
  <si>
    <t>W</t>
  </si>
  <si>
    <t>X</t>
  </si>
  <si>
    <t>W(2)</t>
  </si>
  <si>
    <t>Y</t>
  </si>
  <si>
    <t>Z</t>
  </si>
  <si>
    <t>Y(2)</t>
  </si>
  <si>
    <t>Z(3)</t>
  </si>
  <si>
    <t>Demand is 100 S in week 7</t>
  </si>
  <si>
    <t>U</t>
  </si>
  <si>
    <t>Lead time</t>
  </si>
  <si>
    <t>on hand inventory</t>
  </si>
  <si>
    <t>Net Requirement</t>
  </si>
  <si>
    <t>S: Gross requirement</t>
  </si>
  <si>
    <t>Order Release</t>
  </si>
  <si>
    <t>T: Gross requirement</t>
  </si>
  <si>
    <t>U: Gross requirement</t>
  </si>
  <si>
    <t>V: Gross requirement</t>
  </si>
  <si>
    <t>W: Gross requirement</t>
  </si>
  <si>
    <t>X: Gross requirement</t>
  </si>
  <si>
    <t>Y: Gross requirement</t>
  </si>
  <si>
    <t>Z: Gross requirement</t>
  </si>
  <si>
    <t>Item</t>
  </si>
  <si>
    <t>Oh hand</t>
  </si>
  <si>
    <t>Gross Requirement</t>
  </si>
  <si>
    <t xml:space="preserve">Gross Requirement </t>
  </si>
  <si>
    <t>Wooden legs</t>
  </si>
  <si>
    <t>Wooden Ends</t>
  </si>
  <si>
    <t>Wooden Sides</t>
  </si>
  <si>
    <t>Table Top</t>
  </si>
  <si>
    <t>Hardware Kit</t>
  </si>
  <si>
    <t>Table</t>
  </si>
  <si>
    <t>Items</t>
  </si>
  <si>
    <t>Gross Requirements</t>
  </si>
  <si>
    <t>Base</t>
  </si>
  <si>
    <t>Top</t>
  </si>
  <si>
    <t>Legs</t>
  </si>
  <si>
    <t>Legs Bolts</t>
  </si>
  <si>
    <t>Frame</t>
  </si>
  <si>
    <t>Boards</t>
  </si>
  <si>
    <t>Glue</t>
  </si>
  <si>
    <t>Sides</t>
  </si>
  <si>
    <t>Ends</t>
  </si>
  <si>
    <t>Legs Supports</t>
  </si>
  <si>
    <t>Ht</t>
  </si>
  <si>
    <t>Lt</t>
  </si>
  <si>
    <t>Wt</t>
  </si>
  <si>
    <t>Ot</t>
  </si>
  <si>
    <t>It</t>
  </si>
  <si>
    <t>St</t>
  </si>
  <si>
    <t>Ct</t>
  </si>
  <si>
    <t>Pt</t>
  </si>
  <si>
    <t>Period</t>
  </si>
  <si>
    <t># Hired</t>
  </si>
  <si>
    <t># Laid off</t>
  </si>
  <si>
    <t># Workforce</t>
  </si>
  <si>
    <t>Overtime</t>
  </si>
  <si>
    <t>Inventory</t>
  </si>
  <si>
    <t>Stockout</t>
  </si>
  <si>
    <t>Subcontract</t>
  </si>
  <si>
    <t>Production</t>
  </si>
  <si>
    <t>Family</t>
  </si>
  <si>
    <t>Percentage Share of Units Sold</t>
  </si>
  <si>
    <t>Units for January</t>
  </si>
  <si>
    <t>Orders</t>
  </si>
  <si>
    <t>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</si>
</sst>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0" fillId="0" borderId="4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107950</xdr:rowOff>
    </xdr:from>
    <xdr:to>
      <xdr:col>7</xdr:col>
      <xdr:colOff>80062</xdr:colOff>
      <xdr:row>15</xdr:row>
      <xdr:rowOff>48260</xdr:rowOff>
    </xdr:to>
    <xdr:pic>
      <xdr:nvPicPr>
        <xdr:cNvPr id="2" name="Picture 1" descr="A table shows the Simplified bill of material with 3 columns, and 6 rows.&#10;Long description is available in notes, press F6.">
          <a:extLst>
            <a:ext uri="{FF2B5EF4-FFF2-40B4-BE49-F238E27FC236}">
              <a16:creationId xmlns:a16="http://schemas.microsoft.com/office/drawing/2014/main" id="{C421ABA7-EFFA-4337-BF2A-4B9A5500BB42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7950"/>
          <a:ext cx="4321862" cy="2702560"/>
        </a:xfrm>
        <a:prstGeom prst="rect">
          <a:avLst/>
        </a:prstGeom>
      </xdr:spPr>
    </xdr:pic>
    <xdr:clientData/>
  </xdr:twoCellAnchor>
  <xdr:twoCellAnchor editAs="oneCell">
    <xdr:from>
      <xdr:col>7</xdr:col>
      <xdr:colOff>230324</xdr:colOff>
      <xdr:row>8</xdr:row>
      <xdr:rowOff>139700</xdr:rowOff>
    </xdr:from>
    <xdr:to>
      <xdr:col>15</xdr:col>
      <xdr:colOff>157480</xdr:colOff>
      <xdr:row>17</xdr:row>
      <xdr:rowOff>162878</xdr:rowOff>
    </xdr:to>
    <xdr:pic>
      <xdr:nvPicPr>
        <xdr:cNvPr id="3" name="Picture 2" descr="A tree diagram of a product.&#10;Long description is available in notes, press F6.">
          <a:extLst>
            <a:ext uri="{FF2B5EF4-FFF2-40B4-BE49-F238E27FC236}">
              <a16:creationId xmlns:a16="http://schemas.microsoft.com/office/drawing/2014/main" id="{F7BD47FE-5087-4FE4-861C-BCE0298E8E8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7524" y="1612900"/>
          <a:ext cx="5718356" cy="1680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8</xdr:col>
      <xdr:colOff>37189</xdr:colOff>
      <xdr:row>16</xdr:row>
      <xdr:rowOff>76200</xdr:rowOff>
    </xdr:to>
    <xdr:pic>
      <xdr:nvPicPr>
        <xdr:cNvPr id="2" name="Picture 1" descr="A tree diagram of Multilevel bill.&#10;Long description is available in notes, press F6.">
          <a:extLst>
            <a:ext uri="{FF2B5EF4-FFF2-40B4-BE49-F238E27FC236}">
              <a16:creationId xmlns:a16="http://schemas.microsoft.com/office/drawing/2014/main" id="{98B3B2E9-27F9-45EB-943C-E35341B1D5A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0"/>
          <a:ext cx="4913989" cy="30099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</xdr:row>
      <xdr:rowOff>114300</xdr:rowOff>
    </xdr:from>
    <xdr:to>
      <xdr:col>8</xdr:col>
      <xdr:colOff>387350</xdr:colOff>
      <xdr:row>43</xdr:row>
      <xdr:rowOff>14288</xdr:rowOff>
    </xdr:to>
    <xdr:pic>
      <xdr:nvPicPr>
        <xdr:cNvPr id="3" name="Picture 2" descr="A table shows the Indented bill of material with 3 columns, and 12 rows.&#10;Long description is available in notes, press F6.">
          <a:extLst>
            <a:ext uri="{FF2B5EF4-FFF2-40B4-BE49-F238E27FC236}">
              <a16:creationId xmlns:a16="http://schemas.microsoft.com/office/drawing/2014/main" id="{54382F7B-9DC0-49B5-B285-122002A360E3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060700"/>
          <a:ext cx="5238750" cy="4872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415F-0610-42C0-9A0A-4C441623B79A}">
  <dimension ref="A2:J23"/>
  <sheetViews>
    <sheetView zoomScale="130" zoomScaleNormal="130" workbookViewId="0">
      <selection activeCell="E15" sqref="E15"/>
    </sheetView>
  </sheetViews>
  <sheetFormatPr defaultRowHeight="14.5" x14ac:dyDescent="0.35"/>
  <cols>
    <col min="1" max="1" width="6.1796875" bestFit="1" customWidth="1"/>
    <col min="2" max="2" width="26.7265625" bestFit="1" customWidth="1"/>
    <col min="3" max="3" width="15.08984375" bestFit="1" customWidth="1"/>
    <col min="4" max="4" width="11.08984375" bestFit="1" customWidth="1"/>
    <col min="5" max="5" width="8.54296875" bestFit="1" customWidth="1"/>
    <col min="6" max="6" width="8.81640625" bestFit="1" customWidth="1"/>
    <col min="7" max="7" width="8" bestFit="1" customWidth="1"/>
    <col min="8" max="8" width="10.7265625" bestFit="1" customWidth="1"/>
    <col min="9" max="9" width="9.90625" bestFit="1" customWidth="1"/>
    <col min="10" max="10" width="7.90625" bestFit="1" customWidth="1"/>
  </cols>
  <sheetData>
    <row r="2" spans="1:10" x14ac:dyDescent="0.35">
      <c r="A2" s="2"/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/>
    </row>
    <row r="3" spans="1:10" x14ac:dyDescent="0.35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</v>
      </c>
    </row>
    <row r="4" spans="1:10" x14ac:dyDescent="0.35">
      <c r="A4" s="2">
        <v>0</v>
      </c>
      <c r="B4" s="2">
        <v>0</v>
      </c>
      <c r="C4" s="2">
        <v>0</v>
      </c>
      <c r="D4" s="2">
        <v>80</v>
      </c>
      <c r="E4" s="2">
        <v>0</v>
      </c>
      <c r="F4" s="2">
        <v>1000</v>
      </c>
      <c r="G4" s="2">
        <v>0</v>
      </c>
      <c r="H4" s="2">
        <v>0</v>
      </c>
      <c r="I4" s="2"/>
      <c r="J4" s="2"/>
    </row>
    <row r="5" spans="1:10" x14ac:dyDescent="0.35">
      <c r="A5" s="2">
        <v>1</v>
      </c>
      <c r="B5" s="2">
        <v>0</v>
      </c>
      <c r="C5" s="2">
        <v>0</v>
      </c>
      <c r="D5" s="2">
        <v>80</v>
      </c>
      <c r="E5" s="2">
        <v>0</v>
      </c>
      <c r="F5" s="2">
        <v>2600</v>
      </c>
      <c r="G5" s="2">
        <v>0</v>
      </c>
      <c r="H5" s="2">
        <v>0</v>
      </c>
      <c r="I5" s="2">
        <v>3200</v>
      </c>
      <c r="J5" s="2">
        <v>1600</v>
      </c>
    </row>
    <row r="6" spans="1:10" x14ac:dyDescent="0.35">
      <c r="A6" s="2">
        <v>2</v>
      </c>
      <c r="B6" s="2">
        <v>0</v>
      </c>
      <c r="C6" s="2">
        <v>0</v>
      </c>
      <c r="D6" s="2">
        <v>80</v>
      </c>
      <c r="E6" s="2">
        <v>0</v>
      </c>
      <c r="F6" s="2">
        <v>2800</v>
      </c>
      <c r="G6" s="2">
        <v>0</v>
      </c>
      <c r="H6" s="2">
        <v>0</v>
      </c>
      <c r="I6" s="2">
        <v>3200</v>
      </c>
      <c r="J6" s="2">
        <v>3000</v>
      </c>
    </row>
    <row r="7" spans="1:10" x14ac:dyDescent="0.35">
      <c r="A7" s="2">
        <v>3</v>
      </c>
      <c r="B7" s="2">
        <v>0</v>
      </c>
      <c r="C7" s="2">
        <v>0</v>
      </c>
      <c r="D7" s="2">
        <v>80</v>
      </c>
      <c r="E7" s="2">
        <v>0</v>
      </c>
      <c r="F7" s="2">
        <v>2800</v>
      </c>
      <c r="G7" s="2">
        <v>0</v>
      </c>
      <c r="H7" s="2">
        <v>0</v>
      </c>
      <c r="I7" s="2">
        <v>3200</v>
      </c>
      <c r="J7" s="2">
        <v>3200</v>
      </c>
    </row>
    <row r="8" spans="1:10" x14ac:dyDescent="0.35">
      <c r="A8" s="2">
        <v>4</v>
      </c>
      <c r="B8" s="2">
        <v>0</v>
      </c>
      <c r="C8" s="2">
        <v>0</v>
      </c>
      <c r="D8" s="2">
        <v>80</v>
      </c>
      <c r="E8" s="2">
        <v>0</v>
      </c>
      <c r="F8" s="2">
        <v>0</v>
      </c>
      <c r="G8" s="2">
        <v>1500</v>
      </c>
      <c r="H8" s="2">
        <v>2500</v>
      </c>
      <c r="I8" s="2">
        <v>3200</v>
      </c>
      <c r="J8" s="2">
        <v>10000</v>
      </c>
    </row>
    <row r="9" spans="1:10" x14ac:dyDescent="0.35">
      <c r="A9" s="2">
        <v>5</v>
      </c>
      <c r="B9" s="2">
        <v>0</v>
      </c>
      <c r="C9" s="2">
        <v>0</v>
      </c>
      <c r="D9" s="2">
        <v>80</v>
      </c>
      <c r="E9" s="2">
        <v>0</v>
      </c>
      <c r="F9" s="2">
        <v>0</v>
      </c>
      <c r="G9" s="2">
        <v>500</v>
      </c>
      <c r="H9" s="2">
        <v>0</v>
      </c>
      <c r="I9" s="2">
        <v>3200</v>
      </c>
      <c r="J9" s="2">
        <v>2200</v>
      </c>
    </row>
    <row r="10" spans="1:10" x14ac:dyDescent="0.35">
      <c r="A10" s="2">
        <v>6</v>
      </c>
      <c r="B10" s="2">
        <v>0</v>
      </c>
      <c r="C10" s="2">
        <v>0</v>
      </c>
      <c r="D10" s="2">
        <v>80</v>
      </c>
      <c r="E10" s="2">
        <v>0</v>
      </c>
      <c r="F10" s="2">
        <v>500</v>
      </c>
      <c r="G10" s="2">
        <v>0</v>
      </c>
      <c r="H10" s="2">
        <v>0</v>
      </c>
      <c r="I10" s="2">
        <v>3200</v>
      </c>
      <c r="J10" s="2">
        <v>2200</v>
      </c>
    </row>
    <row r="12" spans="1:10" x14ac:dyDescent="0.35">
      <c r="A12" s="7" t="s">
        <v>90</v>
      </c>
      <c r="B12" s="7" t="s">
        <v>91</v>
      </c>
      <c r="C12" s="7" t="s">
        <v>92</v>
      </c>
    </row>
    <row r="13" spans="1:10" x14ac:dyDescent="0.35">
      <c r="A13" s="7" t="s">
        <v>2</v>
      </c>
      <c r="B13" s="15">
        <v>0.1</v>
      </c>
      <c r="C13" s="2">
        <f>B13*$I$5</f>
        <v>320</v>
      </c>
    </row>
    <row r="14" spans="1:10" x14ac:dyDescent="0.35">
      <c r="A14" s="7" t="s">
        <v>3</v>
      </c>
      <c r="B14" s="15">
        <v>0.25</v>
      </c>
      <c r="C14" s="2">
        <f t="shared" ref="C14:C18" si="0">B14*$I$5</f>
        <v>800</v>
      </c>
    </row>
    <row r="15" spans="1:10" x14ac:dyDescent="0.35">
      <c r="A15" s="7" t="s">
        <v>4</v>
      </c>
      <c r="B15" s="15">
        <v>0.2</v>
      </c>
      <c r="C15" s="2">
        <f t="shared" si="0"/>
        <v>640</v>
      </c>
    </row>
    <row r="16" spans="1:10" x14ac:dyDescent="0.35">
      <c r="A16" s="7" t="s">
        <v>5</v>
      </c>
      <c r="B16" s="15">
        <v>0.1</v>
      </c>
      <c r="C16" s="2">
        <f t="shared" si="0"/>
        <v>320</v>
      </c>
    </row>
    <row r="17" spans="1:7" x14ac:dyDescent="0.35">
      <c r="A17" s="7" t="s">
        <v>6</v>
      </c>
      <c r="B17" s="15">
        <v>0.2</v>
      </c>
      <c r="C17" s="2">
        <f t="shared" si="0"/>
        <v>640</v>
      </c>
    </row>
    <row r="18" spans="1:7" x14ac:dyDescent="0.35">
      <c r="A18" s="7" t="s">
        <v>7</v>
      </c>
      <c r="B18" s="15">
        <v>0.15</v>
      </c>
      <c r="C18" s="2">
        <f t="shared" si="0"/>
        <v>480</v>
      </c>
    </row>
    <row r="20" spans="1:7" x14ac:dyDescent="0.35">
      <c r="C20" s="2"/>
      <c r="D20" s="16" t="s">
        <v>25</v>
      </c>
      <c r="E20" s="16"/>
      <c r="F20" s="16"/>
      <c r="G20" s="16"/>
    </row>
    <row r="21" spans="1:7" x14ac:dyDescent="0.35">
      <c r="C21" s="2" t="s">
        <v>90</v>
      </c>
      <c r="D21" s="2">
        <v>1</v>
      </c>
      <c r="E21" s="2">
        <v>2</v>
      </c>
      <c r="F21" s="2">
        <v>3</v>
      </c>
      <c r="G21" s="2">
        <v>4</v>
      </c>
    </row>
    <row r="22" spans="1:7" x14ac:dyDescent="0.35">
      <c r="C22" s="2" t="s">
        <v>2</v>
      </c>
      <c r="D22" s="2">
        <v>150</v>
      </c>
      <c r="E22" s="2">
        <v>0</v>
      </c>
      <c r="F22" s="2">
        <v>150</v>
      </c>
      <c r="G22" s="2">
        <v>20</v>
      </c>
    </row>
    <row r="23" spans="1:7" x14ac:dyDescent="0.35">
      <c r="C23" t="s">
        <v>93</v>
      </c>
    </row>
  </sheetData>
  <mergeCells count="1">
    <mergeCell ref="D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D21A-BAE9-4F89-B84D-E0CBEF07E200}">
  <dimension ref="J2:K8"/>
  <sheetViews>
    <sheetView workbookViewId="0">
      <selection activeCell="L3" sqref="L3"/>
    </sheetView>
  </sheetViews>
  <sheetFormatPr defaultRowHeight="14.5" x14ac:dyDescent="0.35"/>
  <cols>
    <col min="10" max="10" width="12.7265625" bestFit="1" customWidth="1"/>
    <col min="11" max="11" width="17.81640625" bestFit="1" customWidth="1"/>
  </cols>
  <sheetData>
    <row r="2" spans="10:11" x14ac:dyDescent="0.35">
      <c r="J2" s="12" t="s">
        <v>61</v>
      </c>
      <c r="K2" s="12" t="s">
        <v>62</v>
      </c>
    </row>
    <row r="3" spans="10:11" x14ac:dyDescent="0.35">
      <c r="J3" s="13" t="s">
        <v>60</v>
      </c>
      <c r="K3" s="2">
        <v>50</v>
      </c>
    </row>
    <row r="4" spans="10:11" x14ac:dyDescent="0.35">
      <c r="J4" s="13" t="s">
        <v>55</v>
      </c>
      <c r="K4" s="2">
        <f>K3*4</f>
        <v>200</v>
      </c>
    </row>
    <row r="5" spans="10:11" x14ac:dyDescent="0.35">
      <c r="J5" s="13" t="s">
        <v>56</v>
      </c>
      <c r="K5" s="2">
        <f>K3*2</f>
        <v>100</v>
      </c>
    </row>
    <row r="6" spans="10:11" x14ac:dyDescent="0.35">
      <c r="J6" s="13" t="s">
        <v>57</v>
      </c>
      <c r="K6" s="2">
        <v>100</v>
      </c>
    </row>
    <row r="7" spans="10:11" x14ac:dyDescent="0.35">
      <c r="J7" s="13" t="s">
        <v>58</v>
      </c>
      <c r="K7" s="2">
        <v>50</v>
      </c>
    </row>
    <row r="8" spans="10:11" x14ac:dyDescent="0.35">
      <c r="J8" s="13" t="s">
        <v>59</v>
      </c>
      <c r="K8" s="2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EE3C-D7E1-48B2-B8DF-3AD39F8CD364}">
  <dimension ref="K2:L14"/>
  <sheetViews>
    <sheetView workbookViewId="0">
      <selection activeCell="K10" sqref="K10"/>
    </sheetView>
  </sheetViews>
  <sheetFormatPr defaultRowHeight="14.5" x14ac:dyDescent="0.35"/>
  <cols>
    <col min="11" max="11" width="12.26953125" bestFit="1" customWidth="1"/>
    <col min="12" max="12" width="17" bestFit="1" customWidth="1"/>
  </cols>
  <sheetData>
    <row r="2" spans="11:12" x14ac:dyDescent="0.35">
      <c r="K2" s="12" t="s">
        <v>51</v>
      </c>
      <c r="L2" s="12" t="s">
        <v>53</v>
      </c>
    </row>
    <row r="3" spans="11:12" x14ac:dyDescent="0.35">
      <c r="K3" s="13" t="s">
        <v>60</v>
      </c>
      <c r="L3" s="2">
        <v>50</v>
      </c>
    </row>
    <row r="4" spans="11:12" x14ac:dyDescent="0.35">
      <c r="K4" s="13" t="s">
        <v>63</v>
      </c>
      <c r="L4" s="2"/>
    </row>
    <row r="5" spans="11:12" x14ac:dyDescent="0.35">
      <c r="K5" s="13" t="s">
        <v>64</v>
      </c>
      <c r="L5" s="2"/>
    </row>
    <row r="6" spans="11:12" x14ac:dyDescent="0.35">
      <c r="K6" s="13" t="s">
        <v>65</v>
      </c>
      <c r="L6" s="2"/>
    </row>
    <row r="7" spans="11:12" x14ac:dyDescent="0.35">
      <c r="K7" s="13" t="s">
        <v>66</v>
      </c>
      <c r="L7" s="2"/>
    </row>
    <row r="8" spans="11:12" x14ac:dyDescent="0.35">
      <c r="K8" s="13" t="s">
        <v>67</v>
      </c>
      <c r="L8" s="2"/>
    </row>
    <row r="9" spans="11:12" x14ac:dyDescent="0.35">
      <c r="K9" s="13" t="s">
        <v>68</v>
      </c>
      <c r="L9" s="2">
        <f>3*1*50</f>
        <v>150</v>
      </c>
    </row>
    <row r="10" spans="11:12" x14ac:dyDescent="0.35">
      <c r="K10" s="14" t="s">
        <v>69</v>
      </c>
      <c r="L10" s="2">
        <v>50</v>
      </c>
    </row>
    <row r="11" spans="11:12" x14ac:dyDescent="0.35">
      <c r="K11" s="13" t="s">
        <v>70</v>
      </c>
      <c r="L11" s="2"/>
    </row>
    <row r="12" spans="11:12" x14ac:dyDescent="0.35">
      <c r="K12" s="13" t="s">
        <v>71</v>
      </c>
      <c r="L12" s="2"/>
    </row>
    <row r="13" spans="11:12" x14ac:dyDescent="0.35">
      <c r="K13" s="13" t="s">
        <v>72</v>
      </c>
      <c r="L13" s="2"/>
    </row>
    <row r="14" spans="11:12" x14ac:dyDescent="0.35">
      <c r="K14" s="14" t="s">
        <v>69</v>
      </c>
      <c r="L14" s="2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zoomScale="140" zoomScaleNormal="140" workbookViewId="0">
      <selection activeCell="C6" sqref="C6"/>
    </sheetView>
  </sheetViews>
  <sheetFormatPr defaultRowHeight="14.5" x14ac:dyDescent="0.35"/>
  <cols>
    <col min="1" max="1" width="17.81640625" bestFit="1" customWidth="1"/>
    <col min="2" max="2" width="13.7265625" bestFit="1" customWidth="1"/>
    <col min="5" max="5" width="13.7265625" bestFit="1" customWidth="1"/>
    <col min="10" max="10" width="10" bestFit="1" customWidth="1"/>
    <col min="16" max="16" width="17.453125" bestFit="1" customWidth="1"/>
  </cols>
  <sheetData>
    <row r="1" spans="1:16" x14ac:dyDescent="0.35">
      <c r="A1" s="2" t="s">
        <v>0</v>
      </c>
      <c r="B1" s="2" t="s">
        <v>1</v>
      </c>
    </row>
    <row r="2" spans="1:16" x14ac:dyDescent="0.35">
      <c r="A2" s="2" t="s">
        <v>2</v>
      </c>
      <c r="B2" s="2">
        <v>1</v>
      </c>
      <c r="P2" t="s">
        <v>54</v>
      </c>
    </row>
    <row r="3" spans="1:16" x14ac:dyDescent="0.35">
      <c r="A3" s="2" t="s">
        <v>3</v>
      </c>
      <c r="B3" s="2">
        <v>2</v>
      </c>
      <c r="D3" s="1"/>
      <c r="H3" t="s">
        <v>94</v>
      </c>
      <c r="O3" s="7" t="s">
        <v>2</v>
      </c>
      <c r="P3" s="7">
        <v>50</v>
      </c>
    </row>
    <row r="4" spans="1:16" x14ac:dyDescent="0.35">
      <c r="A4" s="2" t="s">
        <v>4</v>
      </c>
      <c r="B4" s="2">
        <v>1</v>
      </c>
      <c r="H4" s="7">
        <v>0</v>
      </c>
      <c r="I4" s="7"/>
      <c r="J4" s="7"/>
      <c r="K4" s="7" t="s">
        <v>2</v>
      </c>
      <c r="L4" s="7"/>
      <c r="M4" s="7"/>
      <c r="N4" s="10"/>
      <c r="O4" s="7" t="s">
        <v>3</v>
      </c>
      <c r="P4" s="7">
        <f>2*50</f>
        <v>100</v>
      </c>
    </row>
    <row r="5" spans="1:16" x14ac:dyDescent="0.35">
      <c r="A5" s="2" t="s">
        <v>5</v>
      </c>
      <c r="B5" s="2">
        <v>1</v>
      </c>
      <c r="H5" s="7">
        <v>1</v>
      </c>
      <c r="I5" s="18" t="s">
        <v>19</v>
      </c>
      <c r="J5" s="19"/>
      <c r="K5" s="7"/>
      <c r="L5" s="18" t="s">
        <v>20</v>
      </c>
      <c r="M5" s="19"/>
      <c r="N5" s="10"/>
      <c r="O5" s="7" t="s">
        <v>4</v>
      </c>
      <c r="P5" s="7">
        <f>3*50</f>
        <v>150</v>
      </c>
    </row>
    <row r="6" spans="1:16" x14ac:dyDescent="0.35">
      <c r="A6" s="2" t="s">
        <v>6</v>
      </c>
      <c r="B6" s="2">
        <v>2</v>
      </c>
      <c r="H6" s="7">
        <v>2</v>
      </c>
      <c r="I6" s="7" t="s">
        <v>22</v>
      </c>
      <c r="J6" s="7" t="s">
        <v>21</v>
      </c>
      <c r="K6" s="7"/>
      <c r="L6" s="7" t="s">
        <v>21</v>
      </c>
      <c r="M6" s="18" t="s">
        <v>23</v>
      </c>
      <c r="N6" s="19"/>
      <c r="O6" s="7" t="s">
        <v>5</v>
      </c>
      <c r="P6" s="7">
        <f>2*2*50+2*2*3*50</f>
        <v>800</v>
      </c>
    </row>
    <row r="7" spans="1:16" ht="15" thickBot="1" x14ac:dyDescent="0.4">
      <c r="A7" s="2" t="s">
        <v>7</v>
      </c>
      <c r="B7" s="2">
        <v>3</v>
      </c>
      <c r="H7" s="7">
        <v>3</v>
      </c>
      <c r="I7" s="7"/>
      <c r="J7" s="7"/>
      <c r="K7" s="7"/>
      <c r="L7" s="7"/>
      <c r="M7" s="7" t="s">
        <v>24</v>
      </c>
      <c r="N7" s="10" t="s">
        <v>22</v>
      </c>
      <c r="O7" s="7" t="s">
        <v>6</v>
      </c>
      <c r="P7" s="7">
        <f>2*2*50+2*3*50</f>
        <v>500</v>
      </c>
    </row>
    <row r="8" spans="1:16" ht="15" thickBot="1" x14ac:dyDescent="0.4">
      <c r="A8" s="2" t="s">
        <v>8</v>
      </c>
      <c r="B8" s="2">
        <v>2</v>
      </c>
      <c r="D8" s="3" t="s">
        <v>9</v>
      </c>
      <c r="E8" s="4" t="s">
        <v>10</v>
      </c>
      <c r="O8" s="7" t="s">
        <v>7</v>
      </c>
      <c r="P8" s="7">
        <f>2*3*50</f>
        <v>300</v>
      </c>
    </row>
    <row r="9" spans="1:16" x14ac:dyDescent="0.35">
      <c r="O9" s="7" t="s">
        <v>8</v>
      </c>
      <c r="P9" s="7">
        <f>1*2*3*50</f>
        <v>300</v>
      </c>
    </row>
    <row r="10" spans="1:16" x14ac:dyDescent="0.35">
      <c r="B10" s="17" t="s">
        <v>25</v>
      </c>
      <c r="C10" s="17"/>
      <c r="D10" s="17"/>
      <c r="E10" s="17"/>
      <c r="F10" s="17"/>
      <c r="G10" s="17"/>
      <c r="H10" s="17"/>
      <c r="I10" s="17"/>
    </row>
    <row r="11" spans="1:16" x14ac:dyDescent="0.35"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 t="s">
        <v>1</v>
      </c>
    </row>
    <row r="12" spans="1:16" x14ac:dyDescent="0.35">
      <c r="A12" s="6" t="s">
        <v>11</v>
      </c>
      <c r="B12" s="5"/>
      <c r="C12" s="5"/>
      <c r="D12" s="5"/>
      <c r="E12" s="5"/>
      <c r="F12" s="5"/>
      <c r="G12" s="5"/>
      <c r="H12" s="5"/>
      <c r="I12" s="5">
        <v>50</v>
      </c>
      <c r="J12" s="5">
        <v>1</v>
      </c>
    </row>
    <row r="13" spans="1:16" x14ac:dyDescent="0.35">
      <c r="A13" s="6" t="s">
        <v>12</v>
      </c>
      <c r="B13" s="5"/>
      <c r="C13" s="5"/>
      <c r="D13" s="5"/>
      <c r="E13" s="5"/>
      <c r="F13" s="5"/>
      <c r="G13" s="5"/>
      <c r="H13" s="5">
        <v>50</v>
      </c>
      <c r="I13" s="5"/>
      <c r="J13" s="5"/>
    </row>
    <row r="14" spans="1:16" x14ac:dyDescent="0.35">
      <c r="A14" s="7" t="s">
        <v>16</v>
      </c>
      <c r="B14" s="2"/>
      <c r="C14" s="2"/>
      <c r="D14" s="2"/>
      <c r="E14" s="2"/>
      <c r="F14" s="2"/>
      <c r="G14" s="2"/>
      <c r="H14" s="2">
        <v>100</v>
      </c>
      <c r="I14" s="2"/>
      <c r="J14" s="2">
        <v>2</v>
      </c>
    </row>
    <row r="15" spans="1:16" x14ac:dyDescent="0.35">
      <c r="A15" s="7" t="s">
        <v>12</v>
      </c>
      <c r="B15" s="2"/>
      <c r="C15" s="2"/>
      <c r="D15" s="2"/>
      <c r="E15" s="2"/>
      <c r="F15" s="2">
        <v>100</v>
      </c>
      <c r="G15" s="2"/>
      <c r="H15" s="2"/>
      <c r="I15" s="2"/>
      <c r="J15" s="2"/>
    </row>
    <row r="16" spans="1:16" x14ac:dyDescent="0.35">
      <c r="A16" s="6" t="s">
        <v>17</v>
      </c>
      <c r="B16" s="5"/>
      <c r="C16" s="5"/>
      <c r="D16" s="5"/>
      <c r="E16" s="5"/>
      <c r="F16" s="5"/>
      <c r="G16" s="5"/>
      <c r="H16" s="5">
        <v>150</v>
      </c>
      <c r="I16" s="5"/>
      <c r="J16" s="5">
        <v>1</v>
      </c>
    </row>
    <row r="17" spans="1:10" x14ac:dyDescent="0.35">
      <c r="A17" s="6" t="s">
        <v>12</v>
      </c>
      <c r="B17" s="5"/>
      <c r="C17" s="5"/>
      <c r="D17" s="5"/>
      <c r="E17" s="5"/>
      <c r="F17" s="5"/>
      <c r="G17" s="5">
        <v>150</v>
      </c>
      <c r="H17" s="5"/>
      <c r="I17" s="5"/>
      <c r="J17" s="5"/>
    </row>
    <row r="18" spans="1:10" x14ac:dyDescent="0.35">
      <c r="A18" s="7" t="s">
        <v>15</v>
      </c>
      <c r="B18" s="2"/>
      <c r="C18" s="2"/>
      <c r="D18" s="2"/>
      <c r="E18" s="2"/>
      <c r="F18" s="2">
        <v>200</v>
      </c>
      <c r="G18" s="2">
        <v>300</v>
      </c>
      <c r="H18" s="2"/>
      <c r="I18" s="2"/>
      <c r="J18" s="2">
        <v>2</v>
      </c>
    </row>
    <row r="19" spans="1:10" x14ac:dyDescent="0.35">
      <c r="A19" s="7" t="s">
        <v>12</v>
      </c>
      <c r="B19" s="2"/>
      <c r="C19" s="2"/>
      <c r="D19" s="2">
        <v>200</v>
      </c>
      <c r="E19" s="2">
        <v>300</v>
      </c>
      <c r="F19" s="2"/>
      <c r="G19" s="2"/>
      <c r="H19" s="2"/>
      <c r="I19" s="2"/>
      <c r="J19" s="2"/>
    </row>
    <row r="20" spans="1:10" x14ac:dyDescent="0.35">
      <c r="A20" s="6" t="s">
        <v>14</v>
      </c>
      <c r="B20" s="5"/>
      <c r="C20" s="5"/>
      <c r="D20" s="5"/>
      <c r="E20" s="5"/>
      <c r="F20" s="5"/>
      <c r="G20" s="5">
        <v>300</v>
      </c>
      <c r="H20" s="5"/>
      <c r="I20" s="5"/>
      <c r="J20" s="5">
        <v>3</v>
      </c>
    </row>
    <row r="21" spans="1:10" x14ac:dyDescent="0.35">
      <c r="A21" s="6" t="s">
        <v>12</v>
      </c>
      <c r="B21" s="5"/>
      <c r="C21" s="5"/>
      <c r="D21" s="5">
        <v>300</v>
      </c>
      <c r="E21" s="5"/>
      <c r="F21" s="5"/>
      <c r="G21" s="5"/>
      <c r="H21" s="5"/>
      <c r="I21" s="5"/>
      <c r="J21" s="5"/>
    </row>
    <row r="22" spans="1:10" x14ac:dyDescent="0.35">
      <c r="A22" s="7" t="s">
        <v>18</v>
      </c>
      <c r="B22" s="2"/>
      <c r="C22" s="2"/>
      <c r="D22" s="2">
        <v>600</v>
      </c>
      <c r="E22" s="2"/>
      <c r="F22" s="2">
        <v>200</v>
      </c>
      <c r="G22" s="2"/>
      <c r="H22" s="2"/>
      <c r="I22" s="2"/>
      <c r="J22" s="2">
        <v>1</v>
      </c>
    </row>
    <row r="23" spans="1:10" x14ac:dyDescent="0.35">
      <c r="A23" s="7" t="s">
        <v>12</v>
      </c>
      <c r="B23" s="2"/>
      <c r="C23" s="2">
        <v>600</v>
      </c>
      <c r="D23" s="2"/>
      <c r="E23" s="2">
        <v>200</v>
      </c>
      <c r="F23" s="2"/>
      <c r="G23" s="2"/>
      <c r="H23" s="2"/>
      <c r="I23" s="2"/>
      <c r="J23" s="2"/>
    </row>
    <row r="24" spans="1:10" x14ac:dyDescent="0.35">
      <c r="A24" s="6" t="s">
        <v>13</v>
      </c>
      <c r="B24" s="5"/>
      <c r="C24" s="5"/>
      <c r="D24" s="5">
        <v>300</v>
      </c>
      <c r="E24" s="5"/>
      <c r="F24" s="5"/>
      <c r="G24" s="5"/>
      <c r="H24" s="5"/>
      <c r="I24" s="5"/>
      <c r="J24" s="5">
        <v>2</v>
      </c>
    </row>
    <row r="25" spans="1:10" x14ac:dyDescent="0.35">
      <c r="A25" s="6" t="s">
        <v>12</v>
      </c>
      <c r="B25" s="5">
        <v>300</v>
      </c>
      <c r="C25" s="5"/>
      <c r="D25" s="5"/>
      <c r="E25" s="5"/>
      <c r="F25" s="5"/>
      <c r="G25" s="5"/>
      <c r="H25" s="5"/>
      <c r="I25" s="5"/>
      <c r="J25" s="5"/>
    </row>
  </sheetData>
  <mergeCells count="4">
    <mergeCell ref="B10:I10"/>
    <mergeCell ref="M6:N6"/>
    <mergeCell ref="L5:M5"/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4"/>
  <sheetViews>
    <sheetView zoomScale="140" zoomScaleNormal="140" workbookViewId="0">
      <selection activeCell="F6" sqref="F6"/>
    </sheetView>
  </sheetViews>
  <sheetFormatPr defaultRowHeight="14.5" x14ac:dyDescent="0.35"/>
  <sheetData>
    <row r="2" spans="1:9" x14ac:dyDescent="0.35">
      <c r="B2" s="7">
        <v>0</v>
      </c>
      <c r="C2" s="7"/>
      <c r="D2" s="7"/>
      <c r="E2" s="7" t="s">
        <v>26</v>
      </c>
      <c r="F2" s="7"/>
      <c r="G2" s="7"/>
      <c r="H2" s="7"/>
    </row>
    <row r="3" spans="1:9" x14ac:dyDescent="0.35">
      <c r="B3" s="7">
        <v>1</v>
      </c>
      <c r="C3" s="7"/>
      <c r="D3" s="7" t="s">
        <v>27</v>
      </c>
      <c r="E3" s="7"/>
      <c r="F3" s="7"/>
      <c r="G3" s="7" t="s">
        <v>28</v>
      </c>
      <c r="H3" s="7"/>
    </row>
    <row r="4" spans="1:9" x14ac:dyDescent="0.35">
      <c r="B4" s="7">
        <v>2</v>
      </c>
      <c r="C4" s="7" t="s">
        <v>29</v>
      </c>
      <c r="D4" s="7" t="s">
        <v>32</v>
      </c>
      <c r="E4" s="7" t="s">
        <v>31</v>
      </c>
      <c r="F4" s="7"/>
      <c r="G4" s="7" t="s">
        <v>35</v>
      </c>
      <c r="H4" s="7" t="s">
        <v>36</v>
      </c>
    </row>
    <row r="7" spans="1:9" x14ac:dyDescent="0.35">
      <c r="A7" s="8" t="s">
        <v>37</v>
      </c>
      <c r="B7" s="8"/>
      <c r="C7" s="8"/>
    </row>
    <row r="8" spans="1:9" x14ac:dyDescent="0.35">
      <c r="B8" s="2">
        <v>1</v>
      </c>
      <c r="C8" s="2">
        <v>2</v>
      </c>
      <c r="D8" s="2">
        <v>3</v>
      </c>
      <c r="E8" s="2">
        <v>4</v>
      </c>
      <c r="F8" s="2">
        <v>5</v>
      </c>
      <c r="G8" s="2">
        <v>6</v>
      </c>
      <c r="H8" s="2">
        <v>7</v>
      </c>
      <c r="I8" s="2" t="s">
        <v>39</v>
      </c>
    </row>
    <row r="9" spans="1:9" x14ac:dyDescent="0.35">
      <c r="A9" s="11" t="s">
        <v>26</v>
      </c>
      <c r="B9" s="11"/>
      <c r="C9" s="11"/>
      <c r="D9" s="11"/>
      <c r="E9" s="11"/>
      <c r="F9" s="11"/>
      <c r="G9" s="11"/>
      <c r="H9" s="11">
        <v>100</v>
      </c>
      <c r="I9" s="11">
        <v>2</v>
      </c>
    </row>
    <row r="10" spans="1:9" x14ac:dyDescent="0.35">
      <c r="A10" s="11"/>
      <c r="B10" s="11"/>
      <c r="C10" s="11"/>
      <c r="D10" s="11"/>
      <c r="E10" s="11"/>
      <c r="F10" s="11">
        <v>100</v>
      </c>
      <c r="G10" s="11"/>
      <c r="H10" s="11"/>
      <c r="I10" s="11"/>
    </row>
    <row r="11" spans="1:9" x14ac:dyDescent="0.35">
      <c r="A11" s="2" t="s">
        <v>27</v>
      </c>
      <c r="B11" s="2"/>
      <c r="C11" s="2"/>
      <c r="D11" s="2"/>
      <c r="E11" s="2"/>
      <c r="F11" s="2">
        <v>100</v>
      </c>
      <c r="G11" s="2"/>
      <c r="H11" s="2"/>
      <c r="I11" s="2">
        <v>1</v>
      </c>
    </row>
    <row r="12" spans="1:9" x14ac:dyDescent="0.35">
      <c r="A12" s="2"/>
      <c r="B12" s="2"/>
      <c r="C12" s="2"/>
      <c r="D12" s="2"/>
      <c r="E12" s="2">
        <v>100</v>
      </c>
      <c r="F12" s="2"/>
      <c r="G12" s="2"/>
      <c r="H12" s="2"/>
      <c r="I12" s="2"/>
    </row>
    <row r="13" spans="1:9" ht="16.5" customHeight="1" x14ac:dyDescent="0.35">
      <c r="A13" s="11" t="s">
        <v>38</v>
      </c>
      <c r="B13" s="11"/>
      <c r="C13" s="11"/>
      <c r="D13" s="11"/>
      <c r="E13" s="11"/>
      <c r="F13" s="11">
        <v>200</v>
      </c>
      <c r="G13" s="11"/>
      <c r="H13" s="11"/>
      <c r="I13" s="11">
        <v>2</v>
      </c>
    </row>
    <row r="14" spans="1:9" x14ac:dyDescent="0.35">
      <c r="A14" s="11"/>
      <c r="B14" s="11"/>
      <c r="C14" s="11"/>
      <c r="D14" s="11">
        <v>200</v>
      </c>
      <c r="E14" s="11"/>
      <c r="F14" s="11"/>
      <c r="G14" s="11"/>
      <c r="H14" s="11"/>
      <c r="I14" s="11"/>
    </row>
    <row r="15" spans="1:9" x14ac:dyDescent="0.35">
      <c r="A15" s="2" t="s">
        <v>29</v>
      </c>
      <c r="B15" s="2"/>
      <c r="C15" s="2"/>
      <c r="D15" s="2"/>
      <c r="E15" s="2">
        <v>100</v>
      </c>
      <c r="F15" s="2"/>
      <c r="G15" s="2"/>
      <c r="H15" s="2"/>
      <c r="I15" s="2">
        <v>2</v>
      </c>
    </row>
    <row r="16" spans="1:9" x14ac:dyDescent="0.35">
      <c r="A16" s="2"/>
      <c r="B16" s="2"/>
      <c r="C16" s="2">
        <v>100</v>
      </c>
      <c r="D16" s="2"/>
      <c r="E16" s="2"/>
      <c r="F16" s="2"/>
      <c r="G16" s="2"/>
      <c r="H16" s="2"/>
      <c r="I16" s="2"/>
    </row>
    <row r="17" spans="1:9" x14ac:dyDescent="0.35">
      <c r="A17" s="11" t="s">
        <v>30</v>
      </c>
      <c r="B17" s="11"/>
      <c r="C17" s="11"/>
      <c r="D17" s="11"/>
      <c r="E17" s="11">
        <v>200</v>
      </c>
      <c r="F17" s="11"/>
      <c r="G17" s="11"/>
      <c r="H17" s="11"/>
      <c r="I17" s="11">
        <v>3</v>
      </c>
    </row>
    <row r="18" spans="1:9" x14ac:dyDescent="0.35">
      <c r="A18" s="11"/>
      <c r="B18" s="11">
        <v>200</v>
      </c>
      <c r="C18" s="11"/>
      <c r="D18" s="11"/>
      <c r="E18" s="11"/>
      <c r="F18" s="11"/>
      <c r="G18" s="11"/>
      <c r="H18" s="11"/>
      <c r="I18" s="11"/>
    </row>
    <row r="19" spans="1:9" x14ac:dyDescent="0.35">
      <c r="A19" s="2" t="s">
        <v>31</v>
      </c>
      <c r="B19" s="2"/>
      <c r="C19" s="2"/>
      <c r="D19" s="2"/>
      <c r="E19" s="2">
        <v>100</v>
      </c>
      <c r="F19" s="2"/>
      <c r="G19" s="2"/>
      <c r="H19" s="2"/>
      <c r="I19" s="2">
        <v>1</v>
      </c>
    </row>
    <row r="20" spans="1:9" x14ac:dyDescent="0.35">
      <c r="A20" s="2"/>
      <c r="B20" s="2"/>
      <c r="C20" s="2"/>
      <c r="D20" s="2">
        <v>100</v>
      </c>
      <c r="E20" s="2"/>
      <c r="F20" s="2"/>
      <c r="G20" s="2"/>
      <c r="H20" s="2"/>
      <c r="I20" s="2"/>
    </row>
    <row r="21" spans="1:9" x14ac:dyDescent="0.35">
      <c r="A21" s="11" t="s">
        <v>33</v>
      </c>
      <c r="B21" s="11"/>
      <c r="C21" s="11"/>
      <c r="D21" s="11">
        <v>400</v>
      </c>
      <c r="E21" s="11"/>
      <c r="F21" s="11"/>
      <c r="G21" s="11"/>
      <c r="H21" s="11"/>
      <c r="I21" s="11">
        <v>2</v>
      </c>
    </row>
    <row r="22" spans="1:9" x14ac:dyDescent="0.35">
      <c r="A22" s="11"/>
      <c r="B22" s="11">
        <v>400</v>
      </c>
      <c r="C22" s="11"/>
      <c r="D22" s="11"/>
      <c r="E22" s="11"/>
      <c r="F22" s="11"/>
      <c r="G22" s="11"/>
      <c r="H22" s="11"/>
      <c r="I22" s="11"/>
    </row>
    <row r="23" spans="1:9" x14ac:dyDescent="0.35">
      <c r="A23" s="2" t="s">
        <v>34</v>
      </c>
      <c r="B23" s="2"/>
      <c r="C23" s="2"/>
      <c r="D23" s="2">
        <v>600</v>
      </c>
      <c r="E23" s="2"/>
      <c r="F23" s="2"/>
      <c r="G23" s="2"/>
      <c r="H23" s="2"/>
      <c r="I23" s="2">
        <v>1</v>
      </c>
    </row>
    <row r="24" spans="1:9" x14ac:dyDescent="0.35">
      <c r="A24" s="2"/>
      <c r="B24" s="2"/>
      <c r="C24" s="2">
        <v>600</v>
      </c>
      <c r="D24" s="2"/>
      <c r="E24" s="2"/>
      <c r="F24" s="2"/>
      <c r="G24" s="2"/>
      <c r="H24" s="2"/>
      <c r="I2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6"/>
  <sheetViews>
    <sheetView tabSelected="1" zoomScale="130" zoomScaleNormal="130" workbookViewId="0">
      <selection activeCell="J5" sqref="J5"/>
    </sheetView>
  </sheetViews>
  <sheetFormatPr defaultRowHeight="14.5" x14ac:dyDescent="0.35"/>
  <cols>
    <col min="1" max="1" width="24.453125" bestFit="1" customWidth="1"/>
  </cols>
  <sheetData>
    <row r="1" spans="1:17" x14ac:dyDescent="0.35">
      <c r="L1" s="2" t="s">
        <v>51</v>
      </c>
      <c r="M1" s="2" t="s">
        <v>52</v>
      </c>
    </row>
    <row r="2" spans="1:17" x14ac:dyDescent="0.35">
      <c r="A2" s="8" t="s">
        <v>37</v>
      </c>
      <c r="L2" s="2" t="s">
        <v>26</v>
      </c>
      <c r="M2" s="2">
        <v>20</v>
      </c>
    </row>
    <row r="3" spans="1:17" x14ac:dyDescent="0.35">
      <c r="L3" s="2" t="s">
        <v>27</v>
      </c>
      <c r="M3" s="2">
        <v>20</v>
      </c>
    </row>
    <row r="4" spans="1:17" x14ac:dyDescent="0.35">
      <c r="A4" s="7"/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 t="s">
        <v>39</v>
      </c>
      <c r="L4" s="2" t="s">
        <v>38</v>
      </c>
      <c r="M4" s="2">
        <v>40</v>
      </c>
    </row>
    <row r="5" spans="1:17" x14ac:dyDescent="0.35">
      <c r="A5" s="6" t="s">
        <v>42</v>
      </c>
      <c r="B5" s="6"/>
      <c r="C5" s="6"/>
      <c r="D5" s="6"/>
      <c r="E5" s="6"/>
      <c r="F5" s="6"/>
      <c r="G5" s="6"/>
      <c r="H5" s="6">
        <v>100</v>
      </c>
      <c r="I5" s="20">
        <v>2</v>
      </c>
      <c r="L5" s="2" t="s">
        <v>29</v>
      </c>
      <c r="M5" s="2">
        <v>30</v>
      </c>
    </row>
    <row r="6" spans="1:17" x14ac:dyDescent="0.35">
      <c r="A6" s="6" t="s">
        <v>40</v>
      </c>
      <c r="B6" s="6"/>
      <c r="C6" s="6"/>
      <c r="D6" s="6"/>
      <c r="E6" s="6"/>
      <c r="F6" s="6"/>
      <c r="G6" s="6"/>
      <c r="H6" s="6">
        <v>20</v>
      </c>
      <c r="I6" s="21"/>
      <c r="L6" s="2" t="s">
        <v>30</v>
      </c>
      <c r="M6" s="2">
        <v>30</v>
      </c>
    </row>
    <row r="7" spans="1:17" x14ac:dyDescent="0.35">
      <c r="A7" s="6" t="s">
        <v>41</v>
      </c>
      <c r="B7" s="6"/>
      <c r="C7" s="6"/>
      <c r="D7" s="6"/>
      <c r="E7" s="6"/>
      <c r="F7" s="6"/>
      <c r="G7" s="6"/>
      <c r="H7" s="6">
        <v>80</v>
      </c>
      <c r="I7" s="21"/>
      <c r="L7" s="2" t="s">
        <v>31</v>
      </c>
      <c r="M7" s="2">
        <v>25</v>
      </c>
    </row>
    <row r="8" spans="1:17" x14ac:dyDescent="0.35">
      <c r="A8" s="6" t="s">
        <v>43</v>
      </c>
      <c r="B8" s="6"/>
      <c r="C8" s="6"/>
      <c r="D8" s="6"/>
      <c r="E8" s="6"/>
      <c r="F8" s="6">
        <v>80</v>
      </c>
      <c r="G8" s="6"/>
      <c r="H8" s="6"/>
      <c r="I8" s="22"/>
      <c r="L8" s="2" t="s">
        <v>33</v>
      </c>
      <c r="M8" s="2">
        <v>240</v>
      </c>
    </row>
    <row r="9" spans="1:17" x14ac:dyDescent="0.35">
      <c r="A9" s="7" t="s">
        <v>44</v>
      </c>
      <c r="B9" s="7"/>
      <c r="C9" s="7"/>
      <c r="D9" s="7"/>
      <c r="E9" s="7"/>
      <c r="F9" s="7">
        <v>80</v>
      </c>
      <c r="G9" s="7"/>
      <c r="H9" s="7"/>
      <c r="I9" s="23">
        <v>1</v>
      </c>
      <c r="L9" s="9" t="s">
        <v>34</v>
      </c>
      <c r="M9" s="9">
        <v>40</v>
      </c>
    </row>
    <row r="10" spans="1:17" x14ac:dyDescent="0.35">
      <c r="A10" s="7" t="s">
        <v>40</v>
      </c>
      <c r="B10" s="7"/>
      <c r="C10" s="7"/>
      <c r="D10" s="7"/>
      <c r="E10" s="7"/>
      <c r="F10" s="7">
        <v>20</v>
      </c>
      <c r="G10" s="7"/>
      <c r="H10" s="7"/>
      <c r="I10" s="24"/>
      <c r="K10" s="7">
        <v>0</v>
      </c>
      <c r="L10" s="7"/>
      <c r="M10" s="7"/>
      <c r="N10" s="7" t="s">
        <v>26</v>
      </c>
      <c r="O10" s="7"/>
      <c r="P10" s="7"/>
      <c r="Q10" s="7"/>
    </row>
    <row r="11" spans="1:17" x14ac:dyDescent="0.35">
      <c r="A11" s="7" t="s">
        <v>41</v>
      </c>
      <c r="B11" s="7"/>
      <c r="C11" s="7"/>
      <c r="D11" s="7"/>
      <c r="E11" s="7"/>
      <c r="F11" s="7">
        <v>60</v>
      </c>
      <c r="G11" s="7"/>
      <c r="H11" s="7"/>
      <c r="I11" s="24"/>
      <c r="K11" s="7">
        <v>1</v>
      </c>
      <c r="L11" s="7"/>
      <c r="M11" s="7" t="s">
        <v>27</v>
      </c>
      <c r="N11" s="7"/>
      <c r="O11" s="7"/>
      <c r="P11" s="7" t="s">
        <v>28</v>
      </c>
      <c r="Q11" s="7"/>
    </row>
    <row r="12" spans="1:17" x14ac:dyDescent="0.35">
      <c r="A12" s="7" t="s">
        <v>43</v>
      </c>
      <c r="B12" s="7"/>
      <c r="C12" s="7"/>
      <c r="D12" s="7"/>
      <c r="E12" s="7">
        <v>60</v>
      </c>
      <c r="F12" s="7"/>
      <c r="G12" s="7"/>
      <c r="H12" s="7"/>
      <c r="I12" s="25"/>
      <c r="K12" s="7">
        <v>2</v>
      </c>
      <c r="L12" s="7" t="s">
        <v>29</v>
      </c>
      <c r="M12" s="7" t="s">
        <v>32</v>
      </c>
      <c r="N12" s="7" t="s">
        <v>31</v>
      </c>
      <c r="O12" s="7"/>
      <c r="P12" s="7" t="s">
        <v>35</v>
      </c>
      <c r="Q12" s="7" t="s">
        <v>36</v>
      </c>
    </row>
    <row r="13" spans="1:17" x14ac:dyDescent="0.35">
      <c r="A13" s="6" t="s">
        <v>45</v>
      </c>
      <c r="B13" s="6"/>
      <c r="C13" s="6"/>
      <c r="D13" s="6"/>
      <c r="E13" s="6"/>
      <c r="F13" s="6">
        <v>160</v>
      </c>
      <c r="G13" s="6"/>
      <c r="H13" s="6"/>
      <c r="I13" s="20">
        <v>2</v>
      </c>
    </row>
    <row r="14" spans="1:17" x14ac:dyDescent="0.35">
      <c r="A14" s="6" t="s">
        <v>40</v>
      </c>
      <c r="B14" s="6"/>
      <c r="C14" s="6"/>
      <c r="D14" s="6"/>
      <c r="E14" s="6"/>
      <c r="F14" s="6">
        <v>40</v>
      </c>
      <c r="G14" s="6"/>
      <c r="H14" s="6"/>
      <c r="I14" s="21"/>
    </row>
    <row r="15" spans="1:17" x14ac:dyDescent="0.35">
      <c r="A15" s="6" t="s">
        <v>41</v>
      </c>
      <c r="B15" s="6"/>
      <c r="C15" s="6"/>
      <c r="D15" s="6"/>
      <c r="E15" s="6"/>
      <c r="F15" s="6">
        <v>120</v>
      </c>
      <c r="G15" s="6"/>
      <c r="H15" s="6"/>
      <c r="I15" s="21"/>
    </row>
    <row r="16" spans="1:17" x14ac:dyDescent="0.35">
      <c r="A16" s="6" t="s">
        <v>43</v>
      </c>
      <c r="B16" s="6"/>
      <c r="C16" s="6"/>
      <c r="D16" s="6">
        <v>120</v>
      </c>
      <c r="E16" s="6"/>
      <c r="F16" s="6"/>
      <c r="G16" s="6"/>
      <c r="H16" s="6"/>
      <c r="I16" s="22"/>
    </row>
    <row r="17" spans="1:9" x14ac:dyDescent="0.35">
      <c r="A17" s="7" t="s">
        <v>46</v>
      </c>
      <c r="B17" s="7"/>
      <c r="C17" s="7"/>
      <c r="D17" s="7"/>
      <c r="E17" s="7">
        <v>60</v>
      </c>
      <c r="F17" s="7"/>
      <c r="G17" s="7"/>
      <c r="H17" s="7"/>
      <c r="I17" s="23">
        <v>2</v>
      </c>
    </row>
    <row r="18" spans="1:9" x14ac:dyDescent="0.35">
      <c r="A18" s="7" t="s">
        <v>40</v>
      </c>
      <c r="B18" s="7"/>
      <c r="C18" s="7"/>
      <c r="D18" s="7"/>
      <c r="E18" s="7">
        <v>30</v>
      </c>
      <c r="F18" s="7"/>
      <c r="G18" s="7"/>
      <c r="H18" s="7"/>
      <c r="I18" s="24"/>
    </row>
    <row r="19" spans="1:9" x14ac:dyDescent="0.35">
      <c r="A19" s="7" t="s">
        <v>41</v>
      </c>
      <c r="B19" s="7"/>
      <c r="C19" s="7"/>
      <c r="D19" s="7"/>
      <c r="E19" s="7">
        <v>30</v>
      </c>
      <c r="F19" s="7"/>
      <c r="G19" s="7"/>
      <c r="H19" s="7"/>
      <c r="I19" s="24"/>
    </row>
    <row r="20" spans="1:9" x14ac:dyDescent="0.35">
      <c r="A20" s="7" t="s">
        <v>43</v>
      </c>
      <c r="B20" s="7"/>
      <c r="C20" s="7">
        <v>30</v>
      </c>
      <c r="D20" s="7"/>
      <c r="E20" s="7"/>
      <c r="F20" s="7"/>
      <c r="G20" s="7"/>
      <c r="H20" s="7"/>
      <c r="I20" s="25"/>
    </row>
    <row r="21" spans="1:9" x14ac:dyDescent="0.35">
      <c r="A21" s="6" t="s">
        <v>47</v>
      </c>
      <c r="B21" s="6"/>
      <c r="C21" s="6"/>
      <c r="D21" s="6"/>
      <c r="E21" s="6">
        <v>120</v>
      </c>
      <c r="F21" s="6"/>
      <c r="G21" s="6"/>
      <c r="H21" s="6"/>
      <c r="I21" s="20">
        <v>3</v>
      </c>
    </row>
    <row r="22" spans="1:9" x14ac:dyDescent="0.35">
      <c r="A22" s="6" t="s">
        <v>40</v>
      </c>
      <c r="B22" s="6"/>
      <c r="C22" s="6"/>
      <c r="D22" s="6"/>
      <c r="E22" s="6">
        <v>30</v>
      </c>
      <c r="F22" s="6"/>
      <c r="G22" s="6"/>
      <c r="H22" s="6"/>
      <c r="I22" s="21"/>
    </row>
    <row r="23" spans="1:9" x14ac:dyDescent="0.35">
      <c r="A23" s="6" t="s">
        <v>41</v>
      </c>
      <c r="B23" s="6"/>
      <c r="C23" s="6"/>
      <c r="D23" s="6"/>
      <c r="E23" s="6">
        <v>90</v>
      </c>
      <c r="F23" s="6"/>
      <c r="G23" s="6"/>
      <c r="H23" s="6"/>
      <c r="I23" s="21"/>
    </row>
    <row r="24" spans="1:9" x14ac:dyDescent="0.35">
      <c r="A24" s="6" t="s">
        <v>43</v>
      </c>
      <c r="B24" s="6">
        <v>90</v>
      </c>
      <c r="C24" s="6"/>
      <c r="D24" s="6"/>
      <c r="E24" s="6"/>
      <c r="F24" s="6"/>
      <c r="G24" s="6"/>
      <c r="H24" s="6"/>
      <c r="I24" s="22"/>
    </row>
    <row r="25" spans="1:9" x14ac:dyDescent="0.35">
      <c r="A25" s="7" t="s">
        <v>48</v>
      </c>
      <c r="B25" s="7"/>
      <c r="C25" s="7"/>
      <c r="D25" s="7"/>
      <c r="E25" s="7">
        <v>60</v>
      </c>
      <c r="F25" s="7"/>
      <c r="G25" s="7"/>
      <c r="H25" s="7"/>
      <c r="I25" s="23">
        <v>1</v>
      </c>
    </row>
    <row r="26" spans="1:9" x14ac:dyDescent="0.35">
      <c r="A26" s="7" t="s">
        <v>40</v>
      </c>
      <c r="B26" s="7"/>
      <c r="C26" s="7"/>
      <c r="D26" s="7"/>
      <c r="E26" s="7">
        <v>25</v>
      </c>
      <c r="F26" s="7"/>
      <c r="G26" s="7"/>
      <c r="H26" s="7"/>
      <c r="I26" s="24"/>
    </row>
    <row r="27" spans="1:9" x14ac:dyDescent="0.35">
      <c r="A27" s="7" t="s">
        <v>41</v>
      </c>
      <c r="B27" s="7"/>
      <c r="C27" s="7"/>
      <c r="D27" s="7"/>
      <c r="E27" s="7">
        <v>35</v>
      </c>
      <c r="F27" s="7"/>
      <c r="G27" s="7"/>
      <c r="H27" s="7"/>
      <c r="I27" s="24"/>
    </row>
    <row r="28" spans="1:9" x14ac:dyDescent="0.35">
      <c r="A28" s="7" t="s">
        <v>43</v>
      </c>
      <c r="B28" s="7"/>
      <c r="C28" s="7"/>
      <c r="D28" s="7">
        <v>35</v>
      </c>
      <c r="E28" s="7"/>
      <c r="F28" s="7"/>
      <c r="G28" s="7"/>
      <c r="H28" s="7"/>
      <c r="I28" s="25"/>
    </row>
    <row r="29" spans="1:9" x14ac:dyDescent="0.35">
      <c r="A29" s="6" t="s">
        <v>49</v>
      </c>
      <c r="B29" s="6"/>
      <c r="C29" s="6"/>
      <c r="D29" s="6">
        <v>240</v>
      </c>
      <c r="E29" s="6"/>
      <c r="F29" s="6"/>
      <c r="G29" s="6"/>
      <c r="H29" s="6"/>
      <c r="I29" s="20">
        <v>2</v>
      </c>
    </row>
    <row r="30" spans="1:9" x14ac:dyDescent="0.35">
      <c r="A30" s="6" t="s">
        <v>40</v>
      </c>
      <c r="B30" s="6"/>
      <c r="C30" s="6"/>
      <c r="D30" s="6">
        <v>240</v>
      </c>
      <c r="E30" s="6"/>
      <c r="F30" s="6"/>
      <c r="G30" s="6"/>
      <c r="H30" s="6"/>
      <c r="I30" s="21"/>
    </row>
    <row r="31" spans="1:9" x14ac:dyDescent="0.35">
      <c r="A31" s="6" t="s">
        <v>41</v>
      </c>
      <c r="B31" s="6"/>
      <c r="C31" s="6"/>
      <c r="D31" s="6">
        <v>0</v>
      </c>
      <c r="E31" s="6"/>
      <c r="F31" s="6"/>
      <c r="G31" s="6"/>
      <c r="H31" s="6"/>
      <c r="I31" s="21"/>
    </row>
    <row r="32" spans="1:9" x14ac:dyDescent="0.35">
      <c r="A32" s="6" t="s">
        <v>43</v>
      </c>
      <c r="B32" s="6">
        <v>0</v>
      </c>
      <c r="C32" s="6"/>
      <c r="D32" s="6"/>
      <c r="E32" s="6"/>
      <c r="F32" s="6"/>
      <c r="G32" s="6"/>
      <c r="H32" s="6"/>
      <c r="I32" s="22"/>
    </row>
    <row r="33" spans="1:9" x14ac:dyDescent="0.35">
      <c r="A33" s="7" t="s">
        <v>50</v>
      </c>
      <c r="B33" s="7"/>
      <c r="C33" s="7"/>
      <c r="D33" s="7">
        <v>360</v>
      </c>
      <c r="E33" s="7"/>
      <c r="F33" s="7"/>
      <c r="G33" s="7"/>
      <c r="H33" s="7"/>
      <c r="I33" s="23">
        <v>1</v>
      </c>
    </row>
    <row r="34" spans="1:9" x14ac:dyDescent="0.35">
      <c r="A34" s="7" t="s">
        <v>40</v>
      </c>
      <c r="B34" s="7"/>
      <c r="C34" s="7"/>
      <c r="D34" s="7">
        <v>40</v>
      </c>
      <c r="E34" s="7"/>
      <c r="F34" s="7"/>
      <c r="G34" s="7"/>
      <c r="H34" s="7"/>
      <c r="I34" s="24"/>
    </row>
    <row r="35" spans="1:9" x14ac:dyDescent="0.35">
      <c r="A35" s="7" t="s">
        <v>41</v>
      </c>
      <c r="B35" s="7"/>
      <c r="C35" s="7"/>
      <c r="D35" s="7">
        <v>320</v>
      </c>
      <c r="E35" s="7"/>
      <c r="F35" s="7"/>
      <c r="G35" s="7"/>
      <c r="H35" s="7"/>
      <c r="I35" s="24"/>
    </row>
    <row r="36" spans="1:9" x14ac:dyDescent="0.35">
      <c r="A36" s="7" t="s">
        <v>43</v>
      </c>
      <c r="B36" s="7"/>
      <c r="C36" s="7">
        <v>320</v>
      </c>
      <c r="D36" s="7"/>
      <c r="E36" s="7"/>
      <c r="F36" s="7"/>
      <c r="G36" s="7"/>
      <c r="H36" s="7"/>
      <c r="I36" s="25"/>
    </row>
  </sheetData>
  <mergeCells count="8">
    <mergeCell ref="I29:I32"/>
    <mergeCell ref="I33:I36"/>
    <mergeCell ref="I5:I8"/>
    <mergeCell ref="I9:I12"/>
    <mergeCell ref="I13:I16"/>
    <mergeCell ref="I17:I20"/>
    <mergeCell ref="I21:I24"/>
    <mergeCell ref="I25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One level BOM</vt:lpstr>
      <vt:lpstr>Multilevel BOM</vt:lpstr>
      <vt:lpstr>Example 2</vt:lpstr>
      <vt:lpstr>14.5 &amp; 14.6</vt:lpstr>
      <vt:lpstr>14.7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</dc:creator>
  <cp:lastModifiedBy>Ahmad Hussain AlNasser</cp:lastModifiedBy>
  <dcterms:created xsi:type="dcterms:W3CDTF">2017-12-01T15:44:02Z</dcterms:created>
  <dcterms:modified xsi:type="dcterms:W3CDTF">2025-12-08T07:54:57Z</dcterms:modified>
</cp:coreProperties>
</file>