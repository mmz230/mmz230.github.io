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Users\mmz2000\Documents\GitHub\mmz230.github.io\252\ISE550\excel\"/>
    </mc:Choice>
  </mc:AlternateContent>
  <xr:revisionPtr revIDLastSave="0" documentId="13_ncr:1_{7DD75F8D-C66B-4B92-B415-55A9B7790FE5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ubtours elimination heuristic" sheetId="1" r:id="rId1"/>
    <sheet name="Subtour elimi. labeling const." sheetId="2" r:id="rId2"/>
  </sheets>
  <definedNames>
    <definedName name="OpenSolver_ChosenSolver" localSheetId="1" hidden="1">CBC</definedName>
    <definedName name="OpenSolver_ChosenSolver" localSheetId="0" hidden="1">CBC</definedName>
    <definedName name="OpenSolver_DualsNewSheet" localSheetId="1" hidden="1">0</definedName>
    <definedName name="OpenSolver_DualsNewSheet" localSheetId="0" hidden="1">0</definedName>
    <definedName name="OpenSolver_LinearityCheck" localSheetId="1" hidden="1">1</definedName>
    <definedName name="OpenSolver_LinearityCheck" localSheetId="0" hidden="1">1</definedName>
    <definedName name="solver_adj" localSheetId="1" hidden="1">'Subtour elimi. labeling const.'!$B$14:$I$21,'Subtour elimi. labeling const.'!$C$26:$C$32</definedName>
    <definedName name="solver_adj" localSheetId="0" hidden="1">'Subtours elimination heuristic'!$B$14:$I$21</definedName>
    <definedName name="solver_cvg" localSheetId="1" hidden="1">0.0001</definedName>
    <definedName name="solver_cvg" localSheetId="0" hidden="1">0.0001</definedName>
    <definedName name="solver_drv" localSheetId="1" hidden="1">2</definedName>
    <definedName name="solver_drv" localSheetId="0" hidden="1">1</definedName>
    <definedName name="solver_eng" localSheetId="1" hidden="1">2</definedName>
    <definedName name="solver_eng" localSheetId="0" hidden="1">2</definedName>
    <definedName name="solver_est" localSheetId="1" hidden="1">1</definedName>
    <definedName name="solver_est" localSheetId="0" hidden="1">1</definedName>
    <definedName name="solver_itr" localSheetId="1" hidden="1">2147483647</definedName>
    <definedName name="solver_itr" localSheetId="0" hidden="1">2147483647</definedName>
    <definedName name="solver_lhs1" localSheetId="1" hidden="1">'Subtour elimi. labeling const.'!$B$14:$I$21</definedName>
    <definedName name="solver_lhs1" localSheetId="0" hidden="1">'Subtours elimination heuristic'!$B$22:$I$22</definedName>
    <definedName name="solver_lhs2" localSheetId="1" hidden="1">'Subtour elimi. labeling const.'!$B$22:$I$22</definedName>
    <definedName name="solver_lhs2" localSheetId="0" hidden="1">'Subtours elimination heuristic'!$D$17</definedName>
    <definedName name="solver_lhs3" localSheetId="1" hidden="1">'Subtour elimi. labeling const.'!$J$14:$J$21</definedName>
    <definedName name="solver_lhs3" localSheetId="0" hidden="1">'Subtours elimination heuristic'!$J$14:$J$21</definedName>
    <definedName name="solver_lhs4" localSheetId="1" hidden="1">'Subtour elimi. labeling const.'!$L$26:$R$32</definedName>
    <definedName name="solver_lhs4" localSheetId="0" hidden="1">'Subtours elimination heuristic'!$J$14:$J$21</definedName>
    <definedName name="solver_lhs5" localSheetId="0" hidden="1">'Subtours elimination heuristic'!$J$14:$J$21</definedName>
    <definedName name="solver_lhs6" localSheetId="0" hidden="1">'Subtours elimination heuristic'!$J$14:$J$21</definedName>
    <definedName name="solver_lhs7" localSheetId="0" hidden="1">'Subtours elimination heuristic'!$J$14:$J$21</definedName>
    <definedName name="solver_lhs8" localSheetId="0" hidden="1">'Subtours elimination heuristic'!$J$14:$J$21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2</definedName>
    <definedName name="solver_msl" localSheetId="0" hidden="1">2</definedName>
    <definedName name="solver_neg" localSheetId="1" hidden="1">1</definedName>
    <definedName name="solver_neg" localSheetId="0" hidden="1">1</definedName>
    <definedName name="solver_nod" localSheetId="1" hidden="1">2147483647</definedName>
    <definedName name="solver_nod" localSheetId="0" hidden="1">2147483647</definedName>
    <definedName name="solver_num" localSheetId="1" hidden="1">4</definedName>
    <definedName name="solver_num" localSheetId="0" hidden="1">3</definedName>
    <definedName name="solver_nwt" localSheetId="1" hidden="1">1</definedName>
    <definedName name="solver_nwt" localSheetId="0" hidden="1">1</definedName>
    <definedName name="solver_opt" localSheetId="1" hidden="1">'Subtour elimi. labeling const.'!$B$34</definedName>
    <definedName name="solver_opt" localSheetId="0" hidden="1">'Subtours elimination heuristic'!$B$25</definedName>
    <definedName name="solver_pre" localSheetId="1" hidden="1">0.000001</definedName>
    <definedName name="solver_pre" localSheetId="0" hidden="1">0.000001</definedName>
    <definedName name="solver_rbv" localSheetId="1" hidden="1">2</definedName>
    <definedName name="solver_rbv" localSheetId="0" hidden="1">1</definedName>
    <definedName name="solver_rel1" localSheetId="1" hidden="1">5</definedName>
    <definedName name="solver_rel1" localSheetId="0" hidden="1">2</definedName>
    <definedName name="solver_rel2" localSheetId="1" hidden="1">2</definedName>
    <definedName name="solver_rel2" localSheetId="0" hidden="1">2</definedName>
    <definedName name="solver_rel3" localSheetId="1" hidden="1">2</definedName>
    <definedName name="solver_rel3" localSheetId="0" hidden="1">2</definedName>
    <definedName name="solver_rel4" localSheetId="1" hidden="1">1</definedName>
    <definedName name="solver_rel4" localSheetId="0" hidden="1">2</definedName>
    <definedName name="solver_rel5" localSheetId="0" hidden="1">2</definedName>
    <definedName name="solver_rel6" localSheetId="0" hidden="1">2</definedName>
    <definedName name="solver_rel7" localSheetId="0" hidden="1">2</definedName>
    <definedName name="solver_rel8" localSheetId="0" hidden="1">2</definedName>
    <definedName name="solver_rhs1" localSheetId="1" hidden="1">binary</definedName>
    <definedName name="solver_rhs1" localSheetId="0" hidden="1">1</definedName>
    <definedName name="solver_rhs2" localSheetId="1" hidden="1">1</definedName>
    <definedName name="solver_rhs2" localSheetId="0" hidden="1">0</definedName>
    <definedName name="solver_rhs3" localSheetId="1" hidden="1">1</definedName>
    <definedName name="solver_rhs3" localSheetId="0" hidden="1">1</definedName>
    <definedName name="solver_rhs4" localSheetId="1" hidden="1">0</definedName>
    <definedName name="solver_rhs4" localSheetId="0" hidden="1">1</definedName>
    <definedName name="solver_rhs5" localSheetId="0" hidden="1">1</definedName>
    <definedName name="solver_rhs6" localSheetId="0" hidden="1">1</definedName>
    <definedName name="solver_rhs7" localSheetId="0" hidden="1">1</definedName>
    <definedName name="solver_rhs8" localSheetId="0" hidden="1">1</definedName>
    <definedName name="solver_rlx" localSheetId="1" hidden="1">2</definedName>
    <definedName name="solver_rlx" localSheetId="0" hidden="1">2</definedName>
    <definedName name="solver_rsd" localSheetId="1" hidden="1">0</definedName>
    <definedName name="solver_rsd" localSheetId="0" hidden="1">0</definedName>
    <definedName name="solver_scl" localSheetId="1" hidden="1">2</definedName>
    <definedName name="solver_scl" localSheetId="0" hidden="1">1</definedName>
    <definedName name="solver_sho" localSheetId="1" hidden="1">2</definedName>
    <definedName name="solver_sho" localSheetId="0" hidden="1">2</definedName>
    <definedName name="solver_ssz" localSheetId="1" hidden="1">100</definedName>
    <definedName name="solver_ssz" localSheetId="0" hidden="1">100</definedName>
    <definedName name="solver_tim" localSheetId="1" hidden="1">2147483647</definedName>
    <definedName name="solver_tim" localSheetId="0" hidden="1">2147483647</definedName>
    <definedName name="solver_tol" localSheetId="1" hidden="1">0.01</definedName>
    <definedName name="solver_tol" localSheetId="0" hidden="1">0.01</definedName>
    <definedName name="solver_typ" localSheetId="1" hidden="1">2</definedName>
    <definedName name="solver_typ" localSheetId="0" hidden="1">2</definedName>
    <definedName name="solver_val" localSheetId="1" hidden="1">0</definedName>
    <definedName name="solver_val" localSheetId="0" hidden="1">0</definedName>
    <definedName name="solver_ver" localSheetId="1" hidden="1">3</definedName>
    <definedName name="solver_ver" localSheetId="0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1" l="1"/>
  <c r="J15" i="1"/>
  <c r="J16" i="1"/>
  <c r="J17" i="1"/>
  <c r="J18" i="1"/>
  <c r="J19" i="1"/>
  <c r="J20" i="1"/>
  <c r="J21" i="1"/>
  <c r="B22" i="1"/>
  <c r="J14" i="1"/>
  <c r="L27" i="2"/>
  <c r="L28" i="2"/>
  <c r="L29" i="2"/>
  <c r="L30" i="2"/>
  <c r="L31" i="2"/>
  <c r="L32" i="2"/>
  <c r="D26" i="2" a="1"/>
  <c r="D26" i="2" s="1"/>
  <c r="M26" i="2" s="1"/>
  <c r="L26" i="2"/>
  <c r="B22" i="2"/>
  <c r="J14" i="2"/>
  <c r="M31" i="2" l="1"/>
  <c r="M29" i="2"/>
  <c r="M27" i="2"/>
  <c r="M32" i="2"/>
  <c r="M30" i="2"/>
  <c r="M28" i="2"/>
  <c r="G26" i="2"/>
  <c r="F26" i="2"/>
  <c r="I26" i="2"/>
  <c r="E26" i="2"/>
  <c r="H26" i="2"/>
  <c r="B34" i="2"/>
  <c r="I22" i="2"/>
  <c r="H22" i="2"/>
  <c r="G22" i="2"/>
  <c r="F22" i="2"/>
  <c r="E22" i="2"/>
  <c r="D22" i="2"/>
  <c r="C22" i="2"/>
  <c r="J21" i="2"/>
  <c r="J20" i="2"/>
  <c r="J19" i="2"/>
  <c r="J18" i="2"/>
  <c r="J17" i="2"/>
  <c r="J16" i="2"/>
  <c r="J15" i="2"/>
  <c r="Q26" i="2" l="1"/>
  <c r="Q28" i="2"/>
  <c r="Q30" i="2"/>
  <c r="Q32" i="2"/>
  <c r="Q27" i="2"/>
  <c r="Q29" i="2"/>
  <c r="Q31" i="2"/>
  <c r="P26" i="2"/>
  <c r="P28" i="2"/>
  <c r="P30" i="2"/>
  <c r="P32" i="2"/>
  <c r="P27" i="2"/>
  <c r="P29" i="2"/>
  <c r="P31" i="2"/>
  <c r="N27" i="2"/>
  <c r="N29" i="2"/>
  <c r="N31" i="2"/>
  <c r="N26" i="2"/>
  <c r="N28" i="2"/>
  <c r="N30" i="2"/>
  <c r="N32" i="2"/>
  <c r="R27" i="2"/>
  <c r="R29" i="2"/>
  <c r="R31" i="2"/>
  <c r="R26" i="2"/>
  <c r="R28" i="2"/>
  <c r="R30" i="2"/>
  <c r="R32" i="2"/>
  <c r="O27" i="2"/>
  <c r="O29" i="2"/>
  <c r="O31" i="2"/>
  <c r="O26" i="2"/>
  <c r="O28" i="2"/>
  <c r="O30" i="2"/>
  <c r="O32" i="2"/>
  <c r="C22" i="1"/>
  <c r="D22" i="1"/>
  <c r="E22" i="1"/>
  <c r="F22" i="1"/>
  <c r="G22" i="1"/>
  <c r="H22" i="1"/>
  <c r="I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mmz2000</author>
  </authors>
  <commentList>
    <comment ref="B3" authorId="0" shapeId="0" xr:uid="{574BCEAD-01D2-4949-9EDE-30EAC9BCF4F8}">
      <text>
        <r>
          <rPr>
            <b/>
            <sz val="9"/>
            <color indexed="81"/>
            <rFont val="Tahoma"/>
            <family val="2"/>
          </rPr>
          <t>mmz2000:</t>
        </r>
        <r>
          <rPr>
            <sz val="9"/>
            <color indexed="81"/>
            <rFont val="Tahoma"/>
            <family val="2"/>
          </rPr>
          <t xml:space="preserve">
zero no demand</t>
        </r>
      </text>
    </comment>
    <comment ref="E6" authorId="0" shapeId="0" xr:uid="{C4AF1117-BF6E-4778-AE39-61040B6A7830}">
      <text>
        <r>
          <rPr>
            <b/>
            <sz val="9"/>
            <color indexed="81"/>
            <rFont val="Tahoma"/>
            <family val="2"/>
          </rPr>
          <t>mmz2000:</t>
        </r>
        <r>
          <rPr>
            <sz val="9"/>
            <color indexed="81"/>
            <rFont val="Tahoma"/>
            <family val="2"/>
          </rPr>
          <t xml:space="preserve">
10 are highlighted due to don’t deliver to 4 agian</t>
        </r>
      </text>
    </comment>
    <comment ref="F7" authorId="0" shapeId="0" xr:uid="{645BA1CB-C270-4AED-85FC-B7D4DAD7353F}">
      <text>
        <r>
          <rPr>
            <b/>
            <sz val="9"/>
            <color indexed="81"/>
            <rFont val="Tahoma"/>
            <family val="2"/>
          </rPr>
          <t>mmz2000:</t>
        </r>
        <r>
          <rPr>
            <sz val="9"/>
            <color indexed="81"/>
            <rFont val="Tahoma"/>
            <family val="2"/>
          </rPr>
          <t xml:space="preserve">
don’t deliver to 9 agian</t>
        </r>
      </text>
    </comment>
    <comment ref="G8" authorId="0" shapeId="0" xr:uid="{8C8B4156-6534-494F-B310-850718EF6B4D}">
      <text>
        <r>
          <rPr>
            <b/>
            <sz val="9"/>
            <color indexed="81"/>
            <rFont val="Tahoma"/>
            <family val="2"/>
          </rPr>
          <t>mmz2000:</t>
        </r>
        <r>
          <rPr>
            <sz val="9"/>
            <color indexed="81"/>
            <rFont val="Tahoma"/>
            <family val="2"/>
          </rPr>
          <t xml:space="preserve">
more cost means expensive, less cost lower number
</t>
        </r>
      </text>
    </comment>
    <comment ref="U25" authorId="0" shapeId="0" xr:uid="{C30B4EDD-7D89-48E8-AAB0-318864257FC2}">
      <text>
        <r>
          <rPr>
            <b/>
            <sz val="9"/>
            <color indexed="81"/>
            <rFont val="Tahoma"/>
            <family val="2"/>
          </rPr>
          <t>mmz2000:</t>
        </r>
        <r>
          <rPr>
            <sz val="9"/>
            <color indexed="81"/>
            <rFont val="Tahoma"/>
            <family val="2"/>
          </rPr>
          <t xml:space="preserve">
choose shortest sub tour</t>
        </r>
      </text>
    </comment>
  </commentList>
</comments>
</file>

<file path=xl/sharedStrings.xml><?xml version="1.0" encoding="utf-8"?>
<sst xmlns="http://schemas.openxmlformats.org/spreadsheetml/2006/main" count="51" uniqueCount="40">
  <si>
    <t>Input parameters</t>
  </si>
  <si>
    <t>Cost (distance) from node I to j</t>
  </si>
  <si>
    <t>Decsion variables</t>
  </si>
  <si>
    <t>xij if link i to j is part of the tour</t>
  </si>
  <si>
    <t>Output links from node</t>
  </si>
  <si>
    <t>Input links to node</t>
  </si>
  <si>
    <t>Total cost</t>
  </si>
  <si>
    <t>Should be equal to 1</t>
  </si>
  <si>
    <t>Subtour 1</t>
  </si>
  <si>
    <t>Subtour 2</t>
  </si>
  <si>
    <t>Subtour 3</t>
  </si>
  <si>
    <t>Subtour 4</t>
  </si>
  <si>
    <t>Subtour 5</t>
  </si>
  <si>
    <t>Subtour 6</t>
  </si>
  <si>
    <t>Subtour 7</t>
  </si>
  <si>
    <t>Subtour 8</t>
  </si>
  <si>
    <t>Subtour 9</t>
  </si>
  <si>
    <t>Auxilliary</t>
  </si>
  <si>
    <t>x 20 22 =0</t>
  </si>
  <si>
    <t>Eliminate subtour 3</t>
  </si>
  <si>
    <t>Eliminiate subtour 6</t>
  </si>
  <si>
    <t>x 20 18 =0</t>
  </si>
  <si>
    <t>Eliminate subtour 8</t>
  </si>
  <si>
    <t>x 4 3 =0</t>
  </si>
  <si>
    <t>Subtour 10</t>
  </si>
  <si>
    <t>Eliminate subtour 9</t>
  </si>
  <si>
    <t>x 4 1 =0</t>
  </si>
  <si>
    <t xml:space="preserve">Tour </t>
  </si>
  <si>
    <t>Cost</t>
  </si>
  <si>
    <t>New solution</t>
  </si>
  <si>
    <t>New Solution</t>
  </si>
  <si>
    <t>Original solution (cost 20.8)</t>
  </si>
  <si>
    <t>u_j</t>
  </si>
  <si>
    <t>Nodes label</t>
  </si>
  <si>
    <t>Decision variables</t>
  </si>
  <si>
    <t>Big number</t>
  </si>
  <si>
    <t xml:space="preserve">Objective </t>
  </si>
  <si>
    <t>Optimal tour</t>
  </si>
  <si>
    <t>Auxilliary variables u_i-u_j + 1 + M (xij-1) should be &lt;=0</t>
  </si>
  <si>
    <t>u_i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</si>
</sst>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horizontal="center"/>
    </xf>
    <xf numFmtId="0" fontId="1" fillId="0" borderId="7" xfId="0" applyFont="1" applyBorder="1" applyAlignment="1">
      <alignment wrapText="1"/>
    </xf>
    <xf numFmtId="0" fontId="1" fillId="0" borderId="1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7" xfId="0" applyBorder="1"/>
    <xf numFmtId="0" fontId="1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18" xfId="0" applyBorder="1"/>
    <xf numFmtId="0" fontId="0" fillId="0" borderId="25" xfId="0" applyBorder="1"/>
    <xf numFmtId="0" fontId="0" fillId="0" borderId="26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1" fillId="0" borderId="0" xfId="0" applyFont="1"/>
    <xf numFmtId="0" fontId="0" fillId="0" borderId="5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29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1" fillId="0" borderId="3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10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38" xfId="0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0" borderId="37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35" xfId="0" applyBorder="1" applyAlignment="1">
      <alignment horizontal="center" vertical="center"/>
    </xf>
    <xf numFmtId="0" fontId="1" fillId="0" borderId="27" xfId="0" applyFont="1" applyBorder="1"/>
    <xf numFmtId="0" fontId="1" fillId="3" borderId="2" xfId="0" applyFont="1" applyFill="1" applyBorder="1" applyAlignment="1">
      <alignment vertical="center" wrapText="1"/>
    </xf>
    <xf numFmtId="0" fontId="1" fillId="3" borderId="24" xfId="0" applyFont="1" applyFill="1" applyBorder="1"/>
    <xf numFmtId="0" fontId="1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30" xfId="0" applyBorder="1" applyAlignment="1">
      <alignment horizontal="center" vertical="center" wrapText="1"/>
    </xf>
    <xf numFmtId="0" fontId="0" fillId="0" borderId="30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"/>
  <sheetViews>
    <sheetView tabSelected="1" topLeftCell="A15" zoomScaleNormal="100" workbookViewId="0">
      <selection activeCell="J23" sqref="J23"/>
    </sheetView>
  </sheetViews>
  <sheetFormatPr defaultRowHeight="15" x14ac:dyDescent="0.25"/>
  <cols>
    <col min="1" max="1" width="10.7109375" customWidth="1"/>
    <col min="4" max="4" width="10.7109375" customWidth="1"/>
    <col min="10" max="10" width="11.85546875" customWidth="1"/>
    <col min="13" max="13" width="9.85546875" customWidth="1"/>
    <col min="14" max="14" width="9.140625" bestFit="1" customWidth="1"/>
    <col min="15" max="17" width="2.85546875" bestFit="1" customWidth="1"/>
    <col min="18" max="22" width="1.85546875" bestFit="1" customWidth="1"/>
  </cols>
  <sheetData>
    <row r="1" spans="1:18" ht="15.75" thickBot="1" x14ac:dyDescent="0.3">
      <c r="B1" s="87" t="s">
        <v>1</v>
      </c>
      <c r="C1" s="87"/>
      <c r="D1" s="87"/>
      <c r="E1" s="87"/>
      <c r="F1" s="87"/>
      <c r="G1" s="87"/>
      <c r="H1" s="87"/>
      <c r="I1" s="87"/>
    </row>
    <row r="2" spans="1:18" ht="45.75" thickBot="1" x14ac:dyDescent="0.3">
      <c r="A2" s="6" t="s">
        <v>0</v>
      </c>
      <c r="B2" s="35">
        <v>0</v>
      </c>
      <c r="C2" s="36">
        <v>1</v>
      </c>
      <c r="D2" s="36">
        <v>3</v>
      </c>
      <c r="E2" s="36">
        <v>4</v>
      </c>
      <c r="F2" s="36">
        <v>9</v>
      </c>
      <c r="G2" s="36">
        <v>18</v>
      </c>
      <c r="H2" s="36">
        <v>20</v>
      </c>
      <c r="I2" s="37">
        <v>22</v>
      </c>
    </row>
    <row r="3" spans="1:18" x14ac:dyDescent="0.25">
      <c r="A3" s="38">
        <v>0</v>
      </c>
      <c r="B3" s="18">
        <v>10</v>
      </c>
      <c r="C3" s="19">
        <v>5.5</v>
      </c>
      <c r="D3" s="19">
        <v>4.2</v>
      </c>
      <c r="E3" s="19">
        <v>2.6</v>
      </c>
      <c r="F3" s="19">
        <v>2.4</v>
      </c>
      <c r="G3" s="19">
        <v>1.3</v>
      </c>
      <c r="H3" s="19">
        <v>2.5</v>
      </c>
      <c r="I3" s="20">
        <v>4.3</v>
      </c>
    </row>
    <row r="4" spans="1:18" x14ac:dyDescent="0.25">
      <c r="A4" s="39">
        <v>1</v>
      </c>
      <c r="B4" s="21">
        <v>4.7</v>
      </c>
      <c r="C4" s="22">
        <v>10</v>
      </c>
      <c r="D4" s="9">
        <v>3.7</v>
      </c>
      <c r="E4" s="9">
        <v>2.1</v>
      </c>
      <c r="F4" s="9">
        <v>5.0999999999999996</v>
      </c>
      <c r="G4" s="9">
        <v>6</v>
      </c>
      <c r="H4" s="9">
        <v>7.2</v>
      </c>
      <c r="I4" s="23">
        <v>9</v>
      </c>
    </row>
    <row r="5" spans="1:18" x14ac:dyDescent="0.25">
      <c r="A5" s="39">
        <v>3</v>
      </c>
      <c r="B5" s="21">
        <v>4.2</v>
      </c>
      <c r="C5" s="9">
        <v>4.5</v>
      </c>
      <c r="D5" s="22">
        <v>10</v>
      </c>
      <c r="E5" s="9">
        <v>1.6</v>
      </c>
      <c r="F5" s="9">
        <v>3.2</v>
      </c>
      <c r="G5" s="9">
        <v>5.5</v>
      </c>
      <c r="H5" s="9">
        <v>6.7</v>
      </c>
      <c r="I5" s="23">
        <v>8.5</v>
      </c>
    </row>
    <row r="6" spans="1:18" x14ac:dyDescent="0.25">
      <c r="A6" s="39">
        <v>4</v>
      </c>
      <c r="B6" s="21">
        <v>2.6</v>
      </c>
      <c r="C6" s="9">
        <v>2.9</v>
      </c>
      <c r="D6" s="9">
        <v>1.6</v>
      </c>
      <c r="E6" s="22">
        <v>10</v>
      </c>
      <c r="F6" s="9">
        <v>3</v>
      </c>
      <c r="G6" s="9">
        <v>3.9</v>
      </c>
      <c r="H6" s="9">
        <v>5.0999999999999996</v>
      </c>
      <c r="I6" s="23">
        <v>6.9</v>
      </c>
    </row>
    <row r="7" spans="1:18" x14ac:dyDescent="0.25">
      <c r="A7" s="39">
        <v>9</v>
      </c>
      <c r="B7" s="21">
        <v>3.8</v>
      </c>
      <c r="C7" s="9">
        <v>4.0999999999999996</v>
      </c>
      <c r="D7" s="9">
        <v>2.8</v>
      </c>
      <c r="E7" s="9">
        <v>1.2</v>
      </c>
      <c r="F7" s="22">
        <v>10</v>
      </c>
      <c r="G7" s="9">
        <v>5.0999999999999996</v>
      </c>
      <c r="H7" s="9">
        <v>6.3</v>
      </c>
      <c r="I7" s="23">
        <v>8.1</v>
      </c>
    </row>
    <row r="8" spans="1:18" x14ac:dyDescent="0.25">
      <c r="A8" s="39">
        <v>18</v>
      </c>
      <c r="B8" s="21">
        <v>3.9</v>
      </c>
      <c r="C8" s="9">
        <v>7.4</v>
      </c>
      <c r="D8" s="9">
        <v>6.1</v>
      </c>
      <c r="E8" s="9">
        <v>4.5</v>
      </c>
      <c r="F8" s="9">
        <v>3.3</v>
      </c>
      <c r="G8" s="22">
        <v>10</v>
      </c>
      <c r="H8" s="9">
        <v>1.2</v>
      </c>
      <c r="I8" s="23">
        <v>3</v>
      </c>
    </row>
    <row r="9" spans="1:18" x14ac:dyDescent="0.25">
      <c r="A9" s="39">
        <v>20</v>
      </c>
      <c r="B9" s="21">
        <v>3.5</v>
      </c>
      <c r="C9" s="9">
        <v>7</v>
      </c>
      <c r="D9" s="9">
        <v>5.7</v>
      </c>
      <c r="E9" s="9">
        <v>4.0999999999999996</v>
      </c>
      <c r="F9" s="9">
        <v>2.9</v>
      </c>
      <c r="G9" s="9">
        <v>1.2</v>
      </c>
      <c r="H9" s="22">
        <v>10</v>
      </c>
      <c r="I9" s="23">
        <v>2.2999999999999998</v>
      </c>
    </row>
    <row r="10" spans="1:18" ht="15.75" thickBot="1" x14ac:dyDescent="0.3">
      <c r="A10" s="40">
        <v>22</v>
      </c>
      <c r="B10" s="24">
        <v>5.8</v>
      </c>
      <c r="C10" s="25">
        <v>9.3000000000000007</v>
      </c>
      <c r="D10" s="25">
        <v>8</v>
      </c>
      <c r="E10" s="25">
        <v>6.4</v>
      </c>
      <c r="F10" s="25">
        <v>5.2</v>
      </c>
      <c r="G10" s="25">
        <v>3</v>
      </c>
      <c r="H10" s="25">
        <v>2.2999999999999998</v>
      </c>
      <c r="I10" s="26">
        <v>10</v>
      </c>
    </row>
    <row r="12" spans="1:18" ht="15.75" thickBot="1" x14ac:dyDescent="0.3">
      <c r="B12" s="88" t="s">
        <v>3</v>
      </c>
      <c r="C12" s="88"/>
      <c r="D12" s="88"/>
      <c r="E12" s="88"/>
      <c r="F12" s="88"/>
      <c r="G12" s="88"/>
      <c r="H12" s="88"/>
      <c r="I12" s="88"/>
      <c r="J12" t="s">
        <v>17</v>
      </c>
    </row>
    <row r="13" spans="1:18" ht="30.75" thickBot="1" x14ac:dyDescent="0.3">
      <c r="A13" s="10" t="s">
        <v>2</v>
      </c>
      <c r="B13" s="35">
        <v>0</v>
      </c>
      <c r="C13" s="36">
        <v>1</v>
      </c>
      <c r="D13" s="36">
        <v>3</v>
      </c>
      <c r="E13" s="36">
        <v>4</v>
      </c>
      <c r="F13" s="36">
        <v>9</v>
      </c>
      <c r="G13" s="36">
        <v>18</v>
      </c>
      <c r="H13" s="36">
        <v>20</v>
      </c>
      <c r="I13" s="41">
        <v>22</v>
      </c>
      <c r="J13" s="12" t="s">
        <v>4</v>
      </c>
      <c r="M13" s="50" t="s">
        <v>31</v>
      </c>
    </row>
    <row r="14" spans="1:18" ht="15.75" thickBot="1" x14ac:dyDescent="0.3">
      <c r="A14" s="42">
        <v>0</v>
      </c>
      <c r="B14" s="47">
        <v>0</v>
      </c>
      <c r="C14" s="47">
        <v>0</v>
      </c>
      <c r="D14" s="47">
        <v>0</v>
      </c>
      <c r="E14" s="47">
        <v>0</v>
      </c>
      <c r="F14" s="47">
        <v>0</v>
      </c>
      <c r="G14" s="45">
        <v>1</v>
      </c>
      <c r="H14" s="47">
        <v>0</v>
      </c>
      <c r="I14" s="48">
        <v>0</v>
      </c>
      <c r="J14" s="7">
        <f>SUM(B14:I14)</f>
        <v>1</v>
      </c>
      <c r="M14" s="61" t="s">
        <v>8</v>
      </c>
      <c r="N14" s="28">
        <v>0</v>
      </c>
      <c r="O14" s="14">
        <v>18</v>
      </c>
      <c r="P14" s="14">
        <v>0</v>
      </c>
      <c r="Q14" s="14"/>
      <c r="R14" s="15"/>
    </row>
    <row r="15" spans="1:18" ht="15.75" thickBot="1" x14ac:dyDescent="0.3">
      <c r="A15" s="43">
        <v>1</v>
      </c>
      <c r="B15" s="47">
        <v>0</v>
      </c>
      <c r="C15" s="47">
        <v>0</v>
      </c>
      <c r="D15" s="47">
        <v>1</v>
      </c>
      <c r="E15" s="45">
        <v>0</v>
      </c>
      <c r="F15" s="47">
        <v>0</v>
      </c>
      <c r="G15" s="47">
        <v>0</v>
      </c>
      <c r="H15" s="47">
        <v>0</v>
      </c>
      <c r="I15" s="48">
        <v>0</v>
      </c>
      <c r="J15" s="7">
        <f t="shared" ref="J15:J21" si="0">SUM(B15:I15)</f>
        <v>1</v>
      </c>
      <c r="M15" s="62" t="s">
        <v>9</v>
      </c>
      <c r="N15" s="5">
        <v>1</v>
      </c>
      <c r="O15" s="1">
        <v>4</v>
      </c>
      <c r="P15" s="1">
        <v>3</v>
      </c>
      <c r="Q15" s="1">
        <v>9</v>
      </c>
      <c r="R15" s="16">
        <v>1</v>
      </c>
    </row>
    <row r="16" spans="1:18" ht="45.75" thickBot="1" x14ac:dyDescent="0.3">
      <c r="A16" s="43">
        <v>3</v>
      </c>
      <c r="B16" s="47">
        <v>0</v>
      </c>
      <c r="C16" s="47">
        <v>0</v>
      </c>
      <c r="D16" s="47">
        <v>0</v>
      </c>
      <c r="E16" s="47">
        <v>0</v>
      </c>
      <c r="F16" s="45">
        <v>1</v>
      </c>
      <c r="G16" s="47">
        <v>0</v>
      </c>
      <c r="H16" s="47">
        <v>0</v>
      </c>
      <c r="I16" s="48">
        <v>0</v>
      </c>
      <c r="J16" s="7">
        <f t="shared" si="0"/>
        <v>1</v>
      </c>
      <c r="K16" s="52" t="s">
        <v>7</v>
      </c>
      <c r="M16" s="63" t="s">
        <v>10</v>
      </c>
      <c r="N16" s="29">
        <v>20</v>
      </c>
      <c r="O16" s="17">
        <v>22</v>
      </c>
      <c r="P16" s="17">
        <v>20</v>
      </c>
      <c r="Q16" s="17"/>
      <c r="R16" s="27"/>
    </row>
    <row r="17" spans="1:22" ht="30.75" thickBot="1" x14ac:dyDescent="0.3">
      <c r="A17" s="43">
        <v>4</v>
      </c>
      <c r="B17" s="47">
        <v>0</v>
      </c>
      <c r="C17" s="47">
        <v>1</v>
      </c>
      <c r="D17" s="45">
        <v>0</v>
      </c>
      <c r="E17" s="47">
        <v>0</v>
      </c>
      <c r="F17" s="47">
        <v>0</v>
      </c>
      <c r="G17" s="47">
        <v>0</v>
      </c>
      <c r="H17" s="47">
        <v>0</v>
      </c>
      <c r="I17" s="48">
        <v>0</v>
      </c>
      <c r="J17" s="7">
        <f t="shared" si="0"/>
        <v>1</v>
      </c>
      <c r="M17" s="60" t="s">
        <v>19</v>
      </c>
      <c r="N17" s="49" t="s">
        <v>18</v>
      </c>
    </row>
    <row r="18" spans="1:22" ht="15.75" thickBot="1" x14ac:dyDescent="0.3">
      <c r="A18" s="43">
        <v>9</v>
      </c>
      <c r="B18" s="47">
        <v>0</v>
      </c>
      <c r="C18" s="45">
        <v>0</v>
      </c>
      <c r="D18" s="47">
        <v>0</v>
      </c>
      <c r="E18" s="47">
        <v>1</v>
      </c>
      <c r="F18" s="47">
        <v>0</v>
      </c>
      <c r="G18" s="47">
        <v>0</v>
      </c>
      <c r="H18" s="47">
        <v>0</v>
      </c>
      <c r="I18" s="48">
        <v>0</v>
      </c>
      <c r="J18" s="7">
        <f t="shared" si="0"/>
        <v>1</v>
      </c>
      <c r="L18" s="89" t="s">
        <v>29</v>
      </c>
      <c r="M18" s="64" t="s">
        <v>11</v>
      </c>
      <c r="N18" s="30">
        <v>0</v>
      </c>
      <c r="O18" s="30">
        <v>9</v>
      </c>
      <c r="P18" s="30">
        <v>0</v>
      </c>
      <c r="Q18" s="31"/>
    </row>
    <row r="19" spans="1:22" ht="15.75" thickBot="1" x14ac:dyDescent="0.3">
      <c r="A19" s="43">
        <v>18</v>
      </c>
      <c r="B19" s="45">
        <v>1</v>
      </c>
      <c r="C19" s="47">
        <v>0</v>
      </c>
      <c r="D19" s="47">
        <v>0</v>
      </c>
      <c r="E19" s="47">
        <v>0</v>
      </c>
      <c r="F19" s="47">
        <v>0</v>
      </c>
      <c r="G19" s="47">
        <v>0</v>
      </c>
      <c r="H19" s="47">
        <v>0</v>
      </c>
      <c r="I19" s="48">
        <v>0</v>
      </c>
      <c r="J19" s="7">
        <f t="shared" si="0"/>
        <v>1</v>
      </c>
      <c r="L19" s="89"/>
      <c r="M19" s="65" t="s">
        <v>12</v>
      </c>
      <c r="N19">
        <v>1</v>
      </c>
      <c r="O19">
        <v>4</v>
      </c>
      <c r="P19">
        <v>3</v>
      </c>
      <c r="Q19" s="32">
        <v>1</v>
      </c>
    </row>
    <row r="20" spans="1:22" ht="15.75" thickBot="1" x14ac:dyDescent="0.3">
      <c r="A20" s="43">
        <v>20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6">
        <v>1</v>
      </c>
      <c r="J20" s="7">
        <f t="shared" si="0"/>
        <v>1</v>
      </c>
      <c r="L20" s="89"/>
      <c r="M20" s="66" t="s">
        <v>13</v>
      </c>
      <c r="N20" s="33">
        <v>18</v>
      </c>
      <c r="O20" s="33">
        <v>22</v>
      </c>
      <c r="P20" s="33">
        <v>20</v>
      </c>
      <c r="Q20" s="34">
        <v>18</v>
      </c>
    </row>
    <row r="21" spans="1:22" ht="45.75" thickBot="1" x14ac:dyDescent="0.3">
      <c r="A21" s="44">
        <v>22</v>
      </c>
      <c r="B21" s="47">
        <v>0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5">
        <v>1</v>
      </c>
      <c r="I21" s="48">
        <v>0</v>
      </c>
      <c r="J21" s="7">
        <f t="shared" si="0"/>
        <v>1</v>
      </c>
      <c r="M21" s="60" t="s">
        <v>20</v>
      </c>
      <c r="N21" s="51" t="s">
        <v>21</v>
      </c>
    </row>
    <row r="22" spans="1:22" ht="29.65" customHeight="1" thickBot="1" x14ac:dyDescent="0.3">
      <c r="A22" s="13" t="s">
        <v>5</v>
      </c>
      <c r="B22" s="3">
        <f>SUM(B14:B21)</f>
        <v>1</v>
      </c>
      <c r="C22" s="3">
        <f t="shared" ref="C22:I22" si="1">SUM(C14:C21)</f>
        <v>1</v>
      </c>
      <c r="D22" s="3">
        <f t="shared" si="1"/>
        <v>1</v>
      </c>
      <c r="E22" s="3">
        <f t="shared" si="1"/>
        <v>1</v>
      </c>
      <c r="F22" s="3">
        <f t="shared" si="1"/>
        <v>1</v>
      </c>
      <c r="G22" s="3">
        <f t="shared" si="1"/>
        <v>1</v>
      </c>
      <c r="H22" s="3">
        <f t="shared" si="1"/>
        <v>1</v>
      </c>
      <c r="I22" s="4">
        <f t="shared" si="1"/>
        <v>1</v>
      </c>
      <c r="L22" s="90" t="s">
        <v>29</v>
      </c>
      <c r="M22" s="65" t="s">
        <v>14</v>
      </c>
      <c r="N22">
        <v>0</v>
      </c>
      <c r="O22" s="30">
        <v>18</v>
      </c>
      <c r="P22" s="30">
        <v>22</v>
      </c>
      <c r="Q22" s="30">
        <v>20</v>
      </c>
      <c r="R22" s="31">
        <v>0</v>
      </c>
    </row>
    <row r="23" spans="1:22" ht="15.75" thickBot="1" x14ac:dyDescent="0.3">
      <c r="D23" t="s">
        <v>7</v>
      </c>
      <c r="L23" s="90"/>
      <c r="M23" s="66" t="s">
        <v>15</v>
      </c>
      <c r="N23" s="33">
        <v>1</v>
      </c>
      <c r="O23" s="33">
        <v>4</v>
      </c>
      <c r="P23" s="33">
        <v>3</v>
      </c>
      <c r="Q23" s="33">
        <v>9</v>
      </c>
      <c r="R23" s="34">
        <v>1</v>
      </c>
    </row>
    <row r="24" spans="1:22" ht="30.75" thickBot="1" x14ac:dyDescent="0.3">
      <c r="M24" s="13" t="s">
        <v>22</v>
      </c>
      <c r="N24" s="57" t="s">
        <v>23</v>
      </c>
    </row>
    <row r="25" spans="1:22" ht="15.75" thickBot="1" x14ac:dyDescent="0.3">
      <c r="A25" s="2" t="s">
        <v>6</v>
      </c>
      <c r="B25" s="4">
        <f>SUMPRODUCT(B3:I10,B14:I21)</f>
        <v>20.8</v>
      </c>
      <c r="L25" s="90" t="s">
        <v>29</v>
      </c>
      <c r="M25" s="11" t="s">
        <v>16</v>
      </c>
      <c r="N25" s="14">
        <v>0</v>
      </c>
      <c r="O25" s="14">
        <v>18</v>
      </c>
      <c r="P25" s="14">
        <v>22</v>
      </c>
      <c r="Q25" s="14">
        <v>20</v>
      </c>
      <c r="R25" s="15">
        <v>0</v>
      </c>
    </row>
    <row r="26" spans="1:22" ht="15.75" thickBot="1" x14ac:dyDescent="0.3">
      <c r="L26" s="90"/>
      <c r="M26" s="67" t="s">
        <v>24</v>
      </c>
      <c r="N26" s="17">
        <v>1</v>
      </c>
      <c r="O26" s="17">
        <v>3</v>
      </c>
      <c r="P26" s="17">
        <v>9</v>
      </c>
      <c r="Q26" s="17">
        <v>4</v>
      </c>
      <c r="R26" s="27">
        <v>1</v>
      </c>
    </row>
    <row r="27" spans="1:22" ht="30.75" thickBot="1" x14ac:dyDescent="0.3">
      <c r="M27" s="58" t="s">
        <v>25</v>
      </c>
      <c r="N27" s="53" t="s">
        <v>26</v>
      </c>
    </row>
    <row r="28" spans="1:22" ht="30.75" thickBot="1" x14ac:dyDescent="0.3">
      <c r="L28" s="55" t="s">
        <v>30</v>
      </c>
      <c r="M28" s="59" t="s">
        <v>27</v>
      </c>
      <c r="N28" s="56">
        <v>0</v>
      </c>
      <c r="O28" s="56">
        <v>18</v>
      </c>
      <c r="P28" s="56">
        <v>22</v>
      </c>
      <c r="Q28" s="56">
        <v>20</v>
      </c>
      <c r="R28" s="56">
        <v>9</v>
      </c>
      <c r="S28" s="56">
        <v>1</v>
      </c>
      <c r="T28" s="56">
        <v>3</v>
      </c>
      <c r="U28" s="56">
        <v>4</v>
      </c>
      <c r="V28" s="51">
        <v>0</v>
      </c>
    </row>
    <row r="29" spans="1:22" x14ac:dyDescent="0.25">
      <c r="M29" s="68" t="s">
        <v>28</v>
      </c>
      <c r="N29" s="50">
        <v>21.5</v>
      </c>
    </row>
  </sheetData>
  <mergeCells count="5">
    <mergeCell ref="B1:I1"/>
    <mergeCell ref="B12:I12"/>
    <mergeCell ref="L18:L20"/>
    <mergeCell ref="L22:L23"/>
    <mergeCell ref="L25:L26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5"/>
  <sheetViews>
    <sheetView workbookViewId="0">
      <selection activeCell="R32" sqref="R32"/>
    </sheetView>
  </sheetViews>
  <sheetFormatPr defaultRowHeight="15" x14ac:dyDescent="0.25"/>
  <cols>
    <col min="1" max="1" width="11.28515625" customWidth="1"/>
  </cols>
  <sheetData>
    <row r="1" spans="1:10" ht="15.75" thickBot="1" x14ac:dyDescent="0.3">
      <c r="B1" s="87" t="s">
        <v>1</v>
      </c>
      <c r="C1" s="87"/>
      <c r="D1" s="87"/>
      <c r="E1" s="87"/>
      <c r="F1" s="87"/>
      <c r="G1" s="87"/>
      <c r="H1" s="87"/>
      <c r="I1" s="87"/>
    </row>
    <row r="2" spans="1:10" ht="30.75" thickBot="1" x14ac:dyDescent="0.3">
      <c r="A2" s="86" t="s">
        <v>0</v>
      </c>
      <c r="B2" s="35">
        <v>0</v>
      </c>
      <c r="C2" s="36">
        <v>1</v>
      </c>
      <c r="D2" s="36">
        <v>3</v>
      </c>
      <c r="E2" s="36">
        <v>4</v>
      </c>
      <c r="F2" s="36">
        <v>9</v>
      </c>
      <c r="G2" s="36">
        <v>18</v>
      </c>
      <c r="H2" s="36">
        <v>20</v>
      </c>
      <c r="I2" s="37">
        <v>22</v>
      </c>
    </row>
    <row r="3" spans="1:10" x14ac:dyDescent="0.25">
      <c r="A3" s="38">
        <v>0</v>
      </c>
      <c r="B3" s="18">
        <v>10</v>
      </c>
      <c r="C3" s="19">
        <v>5.5</v>
      </c>
      <c r="D3" s="19">
        <v>4.2</v>
      </c>
      <c r="E3" s="19">
        <v>2.6</v>
      </c>
      <c r="F3" s="19">
        <v>2.4</v>
      </c>
      <c r="G3" s="19">
        <v>1.3</v>
      </c>
      <c r="H3" s="19">
        <v>2.5</v>
      </c>
      <c r="I3" s="20">
        <v>4.3</v>
      </c>
    </row>
    <row r="4" spans="1:10" x14ac:dyDescent="0.25">
      <c r="A4" s="39">
        <v>1</v>
      </c>
      <c r="B4" s="21">
        <v>4.7</v>
      </c>
      <c r="C4" s="22">
        <v>10</v>
      </c>
      <c r="D4" s="9">
        <v>3.7</v>
      </c>
      <c r="E4" s="9">
        <v>2.1</v>
      </c>
      <c r="F4" s="9">
        <v>5.0999999999999996</v>
      </c>
      <c r="G4" s="9">
        <v>6</v>
      </c>
      <c r="H4" s="9">
        <v>7.2</v>
      </c>
      <c r="I4" s="23">
        <v>9</v>
      </c>
    </row>
    <row r="5" spans="1:10" x14ac:dyDescent="0.25">
      <c r="A5" s="39">
        <v>3</v>
      </c>
      <c r="B5" s="21">
        <v>4.2</v>
      </c>
      <c r="C5" s="9">
        <v>4.5</v>
      </c>
      <c r="D5" s="22">
        <v>10</v>
      </c>
      <c r="E5" s="9">
        <v>1.6</v>
      </c>
      <c r="F5" s="9">
        <v>3.2</v>
      </c>
      <c r="G5" s="9">
        <v>5.5</v>
      </c>
      <c r="H5" s="9">
        <v>6.7</v>
      </c>
      <c r="I5" s="23">
        <v>8.5</v>
      </c>
    </row>
    <row r="6" spans="1:10" x14ac:dyDescent="0.25">
      <c r="A6" s="39">
        <v>4</v>
      </c>
      <c r="B6" s="21">
        <v>2.6</v>
      </c>
      <c r="C6" s="9">
        <v>2.9</v>
      </c>
      <c r="D6" s="9">
        <v>1.6</v>
      </c>
      <c r="E6" s="22">
        <v>10</v>
      </c>
      <c r="F6" s="9">
        <v>3</v>
      </c>
      <c r="G6" s="9">
        <v>3.9</v>
      </c>
      <c r="H6" s="9">
        <v>5.0999999999999996</v>
      </c>
      <c r="I6" s="23">
        <v>6.9</v>
      </c>
    </row>
    <row r="7" spans="1:10" x14ac:dyDescent="0.25">
      <c r="A7" s="39">
        <v>9</v>
      </c>
      <c r="B7" s="21">
        <v>3.8</v>
      </c>
      <c r="C7" s="9">
        <v>4.0999999999999996</v>
      </c>
      <c r="D7" s="9">
        <v>2.8</v>
      </c>
      <c r="E7" s="9">
        <v>1.2</v>
      </c>
      <c r="F7" s="22">
        <v>10</v>
      </c>
      <c r="G7" s="9">
        <v>5.0999999999999996</v>
      </c>
      <c r="H7" s="9">
        <v>6.3</v>
      </c>
      <c r="I7" s="23">
        <v>8.1</v>
      </c>
    </row>
    <row r="8" spans="1:10" x14ac:dyDescent="0.25">
      <c r="A8" s="39">
        <v>18</v>
      </c>
      <c r="B8" s="21">
        <v>3.9</v>
      </c>
      <c r="C8" s="9">
        <v>7.4</v>
      </c>
      <c r="D8" s="9">
        <v>6.1</v>
      </c>
      <c r="E8" s="9">
        <v>4.5</v>
      </c>
      <c r="F8" s="9">
        <v>3.3</v>
      </c>
      <c r="G8" s="22">
        <v>10</v>
      </c>
      <c r="H8" s="9">
        <v>1.2</v>
      </c>
      <c r="I8" s="23">
        <v>3</v>
      </c>
    </row>
    <row r="9" spans="1:10" x14ac:dyDescent="0.25">
      <c r="A9" s="39">
        <v>20</v>
      </c>
      <c r="B9" s="21">
        <v>3.5</v>
      </c>
      <c r="C9" s="9">
        <v>7</v>
      </c>
      <c r="D9" s="9">
        <v>5.7</v>
      </c>
      <c r="E9" s="9">
        <v>4.0999999999999996</v>
      </c>
      <c r="F9" s="9">
        <v>2.9</v>
      </c>
      <c r="G9" s="9">
        <v>1.2</v>
      </c>
      <c r="H9" s="22">
        <v>10</v>
      </c>
      <c r="I9" s="23">
        <v>2.2999999999999998</v>
      </c>
    </row>
    <row r="10" spans="1:10" ht="15.75" thickBot="1" x14ac:dyDescent="0.3">
      <c r="A10" s="40">
        <v>22</v>
      </c>
      <c r="B10" s="24">
        <v>5.8</v>
      </c>
      <c r="C10" s="25">
        <v>9.3000000000000007</v>
      </c>
      <c r="D10" s="25">
        <v>8</v>
      </c>
      <c r="E10" s="25">
        <v>6.4</v>
      </c>
      <c r="F10" s="25">
        <v>5.2</v>
      </c>
      <c r="G10" s="25">
        <v>3</v>
      </c>
      <c r="H10" s="25">
        <v>2.2999999999999998</v>
      </c>
      <c r="I10" s="26">
        <v>10</v>
      </c>
    </row>
    <row r="12" spans="1:10" ht="15.75" thickBot="1" x14ac:dyDescent="0.3">
      <c r="B12" s="88" t="s">
        <v>3</v>
      </c>
      <c r="C12" s="88"/>
      <c r="D12" s="88"/>
      <c r="E12" s="88"/>
      <c r="F12" s="88"/>
      <c r="G12" s="88"/>
      <c r="H12" s="88"/>
      <c r="I12" s="88"/>
      <c r="J12" t="s">
        <v>17</v>
      </c>
    </row>
    <row r="13" spans="1:10" ht="60.75" thickBot="1" x14ac:dyDescent="0.3">
      <c r="A13" s="10" t="s">
        <v>2</v>
      </c>
      <c r="B13" s="35">
        <v>0</v>
      </c>
      <c r="C13" s="36">
        <v>1</v>
      </c>
      <c r="D13" s="36">
        <v>3</v>
      </c>
      <c r="E13" s="36">
        <v>4</v>
      </c>
      <c r="F13" s="36">
        <v>9</v>
      </c>
      <c r="G13" s="36">
        <v>18</v>
      </c>
      <c r="H13" s="36">
        <v>20</v>
      </c>
      <c r="I13" s="41">
        <v>22</v>
      </c>
      <c r="J13" s="12" t="s">
        <v>4</v>
      </c>
    </row>
    <row r="14" spans="1:10" ht="15.75" thickBot="1" x14ac:dyDescent="0.3">
      <c r="A14" s="42">
        <v>0</v>
      </c>
      <c r="B14" s="47"/>
      <c r="C14" s="47"/>
      <c r="D14" s="47"/>
      <c r="E14" s="47"/>
      <c r="F14" s="47"/>
      <c r="G14" s="45"/>
      <c r="H14" s="47"/>
      <c r="I14" s="48"/>
      <c r="J14" s="7">
        <f>SUM(B14:I14)</f>
        <v>0</v>
      </c>
    </row>
    <row r="15" spans="1:10" ht="15.75" thickBot="1" x14ac:dyDescent="0.3">
      <c r="A15" s="43">
        <v>1</v>
      </c>
      <c r="B15" s="47"/>
      <c r="C15" s="47"/>
      <c r="D15" s="47"/>
      <c r="E15" s="45"/>
      <c r="F15" s="47"/>
      <c r="G15" s="47"/>
      <c r="H15" s="47"/>
      <c r="I15" s="48"/>
      <c r="J15" s="7">
        <f t="shared" ref="J15:J21" si="0">SUM(B15:I15)</f>
        <v>0</v>
      </c>
    </row>
    <row r="16" spans="1:10" ht="15.75" thickBot="1" x14ac:dyDescent="0.3">
      <c r="A16" s="43">
        <v>3</v>
      </c>
      <c r="B16" s="47"/>
      <c r="C16" s="47"/>
      <c r="D16" s="47"/>
      <c r="E16" s="47"/>
      <c r="F16" s="45"/>
      <c r="G16" s="47"/>
      <c r="H16" s="47"/>
      <c r="I16" s="48"/>
      <c r="J16" s="7">
        <f t="shared" si="0"/>
        <v>0</v>
      </c>
    </row>
    <row r="17" spans="1:18" ht="15.75" thickBot="1" x14ac:dyDescent="0.3">
      <c r="A17" s="43">
        <v>4</v>
      </c>
      <c r="B17" s="47"/>
      <c r="C17" s="47"/>
      <c r="D17" s="45"/>
      <c r="E17" s="47"/>
      <c r="F17" s="47"/>
      <c r="G17" s="47"/>
      <c r="H17" s="47"/>
      <c r="I17" s="48"/>
      <c r="J17" s="7">
        <f t="shared" si="0"/>
        <v>0</v>
      </c>
    </row>
    <row r="18" spans="1:18" ht="15.75" thickBot="1" x14ac:dyDescent="0.3">
      <c r="A18" s="43">
        <v>9</v>
      </c>
      <c r="B18" s="47"/>
      <c r="C18" s="45"/>
      <c r="D18" s="47"/>
      <c r="E18" s="47"/>
      <c r="F18" s="47"/>
      <c r="G18" s="47"/>
      <c r="H18" s="47"/>
      <c r="I18" s="48"/>
      <c r="J18" s="7">
        <f t="shared" si="0"/>
        <v>0</v>
      </c>
    </row>
    <row r="19" spans="1:18" ht="15.75" thickBot="1" x14ac:dyDescent="0.3">
      <c r="A19" s="43">
        <v>18</v>
      </c>
      <c r="B19" s="45"/>
      <c r="C19" s="47"/>
      <c r="D19" s="47"/>
      <c r="E19" s="47"/>
      <c r="F19" s="47"/>
      <c r="G19" s="47"/>
      <c r="H19" s="47"/>
      <c r="I19" s="48"/>
      <c r="J19" s="7">
        <f t="shared" si="0"/>
        <v>0</v>
      </c>
    </row>
    <row r="20" spans="1:18" ht="15.75" thickBot="1" x14ac:dyDescent="0.3">
      <c r="A20" s="43">
        <v>20</v>
      </c>
      <c r="B20" s="47"/>
      <c r="C20" s="47"/>
      <c r="D20" s="47"/>
      <c r="E20" s="47"/>
      <c r="F20" s="47"/>
      <c r="G20" s="47"/>
      <c r="H20" s="47"/>
      <c r="I20" s="46"/>
      <c r="J20" s="7">
        <f t="shared" si="0"/>
        <v>0</v>
      </c>
    </row>
    <row r="21" spans="1:18" ht="15.75" thickBot="1" x14ac:dyDescent="0.3">
      <c r="A21" s="44">
        <v>22</v>
      </c>
      <c r="B21" s="47"/>
      <c r="C21" s="47"/>
      <c r="D21" s="47"/>
      <c r="E21" s="47"/>
      <c r="F21" s="47"/>
      <c r="G21" s="47"/>
      <c r="H21" s="45"/>
      <c r="I21" s="48"/>
      <c r="J21" s="8">
        <f t="shared" si="0"/>
        <v>0</v>
      </c>
    </row>
    <row r="22" spans="1:18" ht="30.75" thickBot="1" x14ac:dyDescent="0.3">
      <c r="A22" s="13" t="s">
        <v>5</v>
      </c>
      <c r="B22" s="3">
        <f>SUM(B14:B21)</f>
        <v>0</v>
      </c>
      <c r="C22" s="3">
        <f t="shared" ref="C22:I22" si="1">SUM(C14:C21)</f>
        <v>0</v>
      </c>
      <c r="D22" s="3">
        <f t="shared" si="1"/>
        <v>0</v>
      </c>
      <c r="E22" s="3">
        <f t="shared" si="1"/>
        <v>0</v>
      </c>
      <c r="F22" s="3">
        <f t="shared" si="1"/>
        <v>0</v>
      </c>
      <c r="G22" s="3">
        <f t="shared" si="1"/>
        <v>0</v>
      </c>
      <c r="H22" s="3">
        <f t="shared" si="1"/>
        <v>0</v>
      </c>
      <c r="I22" s="4">
        <f t="shared" si="1"/>
        <v>0</v>
      </c>
    </row>
    <row r="23" spans="1:18" ht="30.75" thickBot="1" x14ac:dyDescent="0.3">
      <c r="D23" t="s">
        <v>7</v>
      </c>
      <c r="K23" s="60" t="s">
        <v>35</v>
      </c>
      <c r="L23" s="4">
        <v>8</v>
      </c>
    </row>
    <row r="24" spans="1:18" ht="15.75" thickBot="1" x14ac:dyDescent="0.3">
      <c r="A24" s="50" t="s">
        <v>34</v>
      </c>
      <c r="C24" s="77"/>
      <c r="D24" s="78"/>
      <c r="E24" s="78"/>
      <c r="F24" s="78" t="s">
        <v>32</v>
      </c>
      <c r="G24" s="78"/>
      <c r="H24" s="78"/>
      <c r="K24" s="50" t="s">
        <v>38</v>
      </c>
    </row>
    <row r="25" spans="1:18" ht="30.75" thickBot="1" x14ac:dyDescent="0.3">
      <c r="A25" s="52" t="s">
        <v>33</v>
      </c>
      <c r="B25" s="54"/>
      <c r="C25" s="35">
        <v>1</v>
      </c>
      <c r="D25" s="36">
        <v>3</v>
      </c>
      <c r="E25" s="36">
        <v>4</v>
      </c>
      <c r="F25" s="36">
        <v>9</v>
      </c>
      <c r="G25" s="36">
        <v>18</v>
      </c>
      <c r="H25" s="36">
        <v>20</v>
      </c>
      <c r="I25" s="37">
        <v>22</v>
      </c>
      <c r="K25" s="54"/>
      <c r="L25" s="74">
        <v>1</v>
      </c>
      <c r="M25" s="75">
        <v>3</v>
      </c>
      <c r="N25" s="75">
        <v>4</v>
      </c>
      <c r="O25" s="75">
        <v>9</v>
      </c>
      <c r="P25" s="75">
        <v>18</v>
      </c>
      <c r="Q25" s="75">
        <v>20</v>
      </c>
      <c r="R25" s="76">
        <v>22</v>
      </c>
    </row>
    <row r="26" spans="1:18" x14ac:dyDescent="0.25">
      <c r="B26" s="42">
        <v>1</v>
      </c>
      <c r="C26" s="77">
        <v>5</v>
      </c>
      <c r="D26" s="77">
        <f t="array" ref="D26:I26">TRANSPOSE(C27:C32)</f>
        <v>6</v>
      </c>
      <c r="E26" s="78">
        <v>7</v>
      </c>
      <c r="F26" s="78">
        <v>4</v>
      </c>
      <c r="G26" s="78">
        <v>0</v>
      </c>
      <c r="H26" s="78">
        <v>3</v>
      </c>
      <c r="I26" s="78">
        <v>2</v>
      </c>
      <c r="K26" s="71">
        <v>1</v>
      </c>
      <c r="L26" s="79">
        <f>$C26-C$26+$L$23*(C15-1)+1</f>
        <v>-7</v>
      </c>
      <c r="M26" s="79">
        <f t="shared" ref="M26:R32" si="2">$C26-D$26+$L$23*(D15-1)+1</f>
        <v>-8</v>
      </c>
      <c r="N26" s="79">
        <f t="shared" si="2"/>
        <v>-9</v>
      </c>
      <c r="O26" s="79">
        <f t="shared" si="2"/>
        <v>-6</v>
      </c>
      <c r="P26" s="79">
        <f t="shared" si="2"/>
        <v>-2</v>
      </c>
      <c r="Q26" s="79">
        <f t="shared" si="2"/>
        <v>-5</v>
      </c>
      <c r="R26" s="79">
        <f t="shared" si="2"/>
        <v>-4</v>
      </c>
    </row>
    <row r="27" spans="1:18" x14ac:dyDescent="0.25">
      <c r="B27" s="43">
        <v>3</v>
      </c>
      <c r="C27" s="77">
        <v>6</v>
      </c>
      <c r="D27" s="70"/>
      <c r="E27" s="70"/>
      <c r="F27" s="70"/>
      <c r="G27" s="70"/>
      <c r="H27" s="70"/>
      <c r="I27" s="70"/>
      <c r="K27" s="72">
        <v>3</v>
      </c>
      <c r="L27" s="79">
        <f t="shared" ref="L27:L32" si="3">$C27-C$26+$L$23*(C16-1)+1</f>
        <v>-6</v>
      </c>
      <c r="M27" s="79">
        <f t="shared" si="2"/>
        <v>-7</v>
      </c>
      <c r="N27" s="79">
        <f t="shared" si="2"/>
        <v>-8</v>
      </c>
      <c r="O27" s="79">
        <f t="shared" si="2"/>
        <v>-5</v>
      </c>
      <c r="P27" s="79">
        <f t="shared" si="2"/>
        <v>-1</v>
      </c>
      <c r="Q27" s="79">
        <f t="shared" si="2"/>
        <v>-4</v>
      </c>
      <c r="R27" s="79">
        <f t="shared" si="2"/>
        <v>-3</v>
      </c>
    </row>
    <row r="28" spans="1:18" x14ac:dyDescent="0.25">
      <c r="A28" t="s">
        <v>39</v>
      </c>
      <c r="B28" s="43">
        <v>4</v>
      </c>
      <c r="C28" s="77">
        <v>7</v>
      </c>
      <c r="D28" s="70"/>
      <c r="E28" s="70"/>
      <c r="F28" s="70"/>
      <c r="G28" s="70"/>
      <c r="H28" s="70"/>
      <c r="I28" s="70"/>
      <c r="K28" s="72">
        <v>4</v>
      </c>
      <c r="L28" s="79">
        <f t="shared" si="3"/>
        <v>-5</v>
      </c>
      <c r="M28" s="79">
        <f t="shared" si="2"/>
        <v>-6</v>
      </c>
      <c r="N28" s="79">
        <f t="shared" si="2"/>
        <v>-7</v>
      </c>
      <c r="O28" s="79">
        <f t="shared" si="2"/>
        <v>-4</v>
      </c>
      <c r="P28" s="79">
        <f t="shared" si="2"/>
        <v>0</v>
      </c>
      <c r="Q28" s="79">
        <f t="shared" si="2"/>
        <v>-3</v>
      </c>
      <c r="R28" s="79">
        <f t="shared" si="2"/>
        <v>-2</v>
      </c>
    </row>
    <row r="29" spans="1:18" x14ac:dyDescent="0.25">
      <c r="B29" s="43">
        <v>9</v>
      </c>
      <c r="C29" s="77">
        <v>4</v>
      </c>
      <c r="D29" s="70"/>
      <c r="E29" s="70"/>
      <c r="F29" s="70"/>
      <c r="G29" s="70"/>
      <c r="H29" s="70"/>
      <c r="I29" s="70"/>
      <c r="K29" s="72">
        <v>9</v>
      </c>
      <c r="L29" s="79">
        <f t="shared" si="3"/>
        <v>-8</v>
      </c>
      <c r="M29" s="79">
        <f t="shared" si="2"/>
        <v>-9</v>
      </c>
      <c r="N29" s="79">
        <f t="shared" si="2"/>
        <v>-10</v>
      </c>
      <c r="O29" s="79">
        <f t="shared" si="2"/>
        <v>-7</v>
      </c>
      <c r="P29" s="79">
        <f t="shared" si="2"/>
        <v>-3</v>
      </c>
      <c r="Q29" s="79">
        <f t="shared" si="2"/>
        <v>-6</v>
      </c>
      <c r="R29" s="79">
        <f t="shared" si="2"/>
        <v>-5</v>
      </c>
    </row>
    <row r="30" spans="1:18" x14ac:dyDescent="0.25">
      <c r="B30" s="43">
        <v>18</v>
      </c>
      <c r="C30" s="77">
        <v>0</v>
      </c>
      <c r="D30" s="70"/>
      <c r="E30" s="70"/>
      <c r="F30" s="70"/>
      <c r="G30" s="70"/>
      <c r="H30" s="70"/>
      <c r="I30" s="70"/>
      <c r="K30" s="72">
        <v>18</v>
      </c>
      <c r="L30" s="79">
        <f t="shared" si="3"/>
        <v>-12</v>
      </c>
      <c r="M30" s="79">
        <f t="shared" si="2"/>
        <v>-13</v>
      </c>
      <c r="N30" s="79">
        <f t="shared" si="2"/>
        <v>-14</v>
      </c>
      <c r="O30" s="79">
        <f t="shared" si="2"/>
        <v>-11</v>
      </c>
      <c r="P30" s="79">
        <f t="shared" si="2"/>
        <v>-7</v>
      </c>
      <c r="Q30" s="79">
        <f t="shared" si="2"/>
        <v>-10</v>
      </c>
      <c r="R30" s="79">
        <f t="shared" si="2"/>
        <v>-9</v>
      </c>
    </row>
    <row r="31" spans="1:18" x14ac:dyDescent="0.25">
      <c r="B31" s="43">
        <v>20</v>
      </c>
      <c r="C31" s="77">
        <v>3</v>
      </c>
      <c r="D31" s="70"/>
      <c r="E31" s="70"/>
      <c r="F31" s="70"/>
      <c r="G31" s="70"/>
      <c r="H31" s="70"/>
      <c r="I31" s="70"/>
      <c r="K31" s="72">
        <v>20</v>
      </c>
      <c r="L31" s="79">
        <f t="shared" si="3"/>
        <v>-9</v>
      </c>
      <c r="M31" s="79">
        <f t="shared" si="2"/>
        <v>-10</v>
      </c>
      <c r="N31" s="79">
        <f t="shared" si="2"/>
        <v>-11</v>
      </c>
      <c r="O31" s="79">
        <f t="shared" si="2"/>
        <v>-8</v>
      </c>
      <c r="P31" s="79">
        <f t="shared" si="2"/>
        <v>-4</v>
      </c>
      <c r="Q31" s="79">
        <f t="shared" si="2"/>
        <v>-7</v>
      </c>
      <c r="R31" s="79">
        <f t="shared" si="2"/>
        <v>-6</v>
      </c>
    </row>
    <row r="32" spans="1:18" ht="15.75" thickBot="1" x14ac:dyDescent="0.3">
      <c r="B32" s="69">
        <v>22</v>
      </c>
      <c r="C32" s="77">
        <v>2</v>
      </c>
      <c r="D32" s="70"/>
      <c r="E32" s="70"/>
      <c r="F32" s="70"/>
      <c r="G32" s="70"/>
      <c r="H32" s="70"/>
      <c r="I32" s="70"/>
      <c r="K32" s="73">
        <v>22</v>
      </c>
      <c r="L32" s="79">
        <f t="shared" si="3"/>
        <v>-10</v>
      </c>
      <c r="M32" s="79">
        <f t="shared" si="2"/>
        <v>-11</v>
      </c>
      <c r="N32" s="79">
        <f t="shared" si="2"/>
        <v>-12</v>
      </c>
      <c r="O32" s="79">
        <f t="shared" si="2"/>
        <v>-9</v>
      </c>
      <c r="P32" s="79">
        <f t="shared" si="2"/>
        <v>-5</v>
      </c>
      <c r="Q32" s="79">
        <f t="shared" si="2"/>
        <v>-8</v>
      </c>
      <c r="R32" s="79">
        <f t="shared" si="2"/>
        <v>-7</v>
      </c>
    </row>
    <row r="33" spans="1:10" ht="15.75" thickBot="1" x14ac:dyDescent="0.3"/>
    <row r="34" spans="1:10" ht="15.75" thickBot="1" x14ac:dyDescent="0.3">
      <c r="A34" s="85" t="s">
        <v>36</v>
      </c>
      <c r="B34" s="83">
        <f>SUMPRODUCT(B3:I10,B14:I21)</f>
        <v>0</v>
      </c>
    </row>
    <row r="35" spans="1:10" ht="30.75" thickBot="1" x14ac:dyDescent="0.3">
      <c r="A35" s="84" t="s">
        <v>37</v>
      </c>
      <c r="B35" s="81">
        <v>0</v>
      </c>
      <c r="C35" s="82">
        <v>18</v>
      </c>
      <c r="D35" s="80">
        <v>22</v>
      </c>
      <c r="E35" s="80">
        <v>20</v>
      </c>
      <c r="F35" s="80">
        <v>9</v>
      </c>
      <c r="G35" s="80">
        <v>1</v>
      </c>
      <c r="H35" s="80">
        <v>3</v>
      </c>
      <c r="I35" s="80">
        <v>4</v>
      </c>
      <c r="J35" s="57">
        <v>0</v>
      </c>
    </row>
  </sheetData>
  <mergeCells count="2">
    <mergeCell ref="B1:I1"/>
    <mergeCell ref="B12:I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Subtours elimination heuristic</vt:lpstr>
      <vt:lpstr>Subtour elimi. labeling const.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AlHanbali</dc:creator>
  <cp:lastModifiedBy>ZAMAN, MUHAMMAD MUJTABA</cp:lastModifiedBy>
  <dcterms:created xsi:type="dcterms:W3CDTF">2021-03-29T12:56:55Z</dcterms:created>
  <dcterms:modified xsi:type="dcterms:W3CDTF">2026-04-19T21:50:29Z</dcterms:modified>
</cp:coreProperties>
</file>